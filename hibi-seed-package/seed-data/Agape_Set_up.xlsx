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5" sheetId="2" r:id="rId6"/>
    <sheet state="visible" name="สินค้าหลัก" sheetId="3" r:id="rId7"/>
    <sheet state="visible" name="สินค้าหมุนเวียน" sheetId="4" r:id="rId8"/>
  </sheets>
  <definedNames/>
  <calcPr/>
</workbook>
</file>

<file path=xl/sharedStrings.xml><?xml version="1.0" encoding="utf-8"?>
<sst xmlns="http://schemas.openxmlformats.org/spreadsheetml/2006/main" count="3573" uniqueCount="931">
  <si>
    <t>ใบรายการอุปกรณ์ Hibi Matcha Café</t>
  </si>
  <si>
    <t>N0.</t>
  </si>
  <si>
    <t>หมวดหมู่</t>
  </si>
  <si>
    <t>รหัสสินค้า</t>
  </si>
  <si>
    <t>รายการ</t>
  </si>
  <si>
    <t>รายการไทย</t>
  </si>
  <si>
    <t>จำนวน</t>
  </si>
  <si>
    <t>หน่วย</t>
  </si>
  <si>
    <t>ซื้อจาก</t>
  </si>
  <si>
    <t>LINK</t>
  </si>
  <si>
    <t>Note</t>
  </si>
  <si>
    <t>PIC</t>
  </si>
  <si>
    <t>อุปกรณ์ PACK</t>
  </si>
  <si>
    <t>RAW-011</t>
  </si>
  <si>
    <t>Hibi Clear Cup 260ml.  Lot1268</t>
  </si>
  <si>
    <t>แก้วร้อนเย็น Hibi ขนาด 260ml</t>
  </si>
  <si>
    <t>แถว</t>
  </si>
  <si>
    <t>China</t>
  </si>
  <si>
    <t>แถวละ25ใบ / ลังละ 20 แถว= 500 ใบ</t>
  </si>
  <si>
    <t>RAW-009</t>
  </si>
  <si>
    <t>Hibi Clear Cup 400ml.  Lot0469</t>
  </si>
  <si>
    <t>แก้ว Hibi ขนาด 400ml</t>
  </si>
  <si>
    <t>แถวละ50ใบ / ลังละ 20 แถว= 1,000 ใบ</t>
  </si>
  <si>
    <t>RAW-010</t>
  </si>
  <si>
    <t>Hibi Clear Cup 500ml.  Lot0469</t>
  </si>
  <si>
    <t>แก้ว Hibi ขนาด 500ml</t>
  </si>
  <si>
    <t>RAW-161</t>
  </si>
  <si>
    <t>แก้วhibi 610ml*5000 Lot0469</t>
  </si>
  <si>
    <t>แก้ว Hibi ขนาด 610ml</t>
  </si>
  <si>
    <t>MA-003</t>
  </si>
  <si>
    <t>Green Cap 90mm Lot0469</t>
  </si>
  <si>
    <t>ฝาแก้วขนาด 90cm สีเขียว</t>
  </si>
  <si>
    <t>แถวละ25ใบ / ลังละ 40 แถว= 1,000 ใบ</t>
  </si>
  <si>
    <t>MA-004</t>
  </si>
  <si>
    <t>White Cap 90mm  Lot0469</t>
  </si>
  <si>
    <t>MA-001</t>
  </si>
  <si>
    <t>Clear Cap 90mm  Lot0469</t>
  </si>
  <si>
    <t>ฝาแก้วขนาด 90cm สีใส</t>
  </si>
  <si>
    <t>MA-002</t>
  </si>
  <si>
    <t>Beige Cap 90mm  Lot0469</t>
  </si>
  <si>
    <t>ฝาแก้วขนาด 90cm สีเบจ</t>
  </si>
  <si>
    <t>EP-001</t>
  </si>
  <si>
    <t>กระดาษปิดกันหก</t>
  </si>
  <si>
    <t>ห่อ</t>
  </si>
  <si>
    <t>Shoppee</t>
  </si>
  <si>
    <r>
      <rPr>
        <rFont val="Calibri, sans-serif"/>
        <color rgb="FF1155CC"/>
        <sz val="11.0"/>
        <u/>
      </rPr>
      <t>https://th.shp.ee/AgSmJNX</t>
    </r>
  </si>
  <si>
    <t>ขนาด 13 cm /ห่อ ละ 500 แผ่น</t>
  </si>
  <si>
    <t>RAW-088</t>
  </si>
  <si>
    <t>กระดาษปิดแก้วกันหก สีขาว13cm.(5000แผ่น)</t>
  </si>
  <si>
    <t>แพ็ค</t>
  </si>
  <si>
    <t>RAW-097</t>
  </si>
  <si>
    <t>กระดาษปิดแก้วกันหก สีบลอนเงิน13.5cm.(1000แผ่น)</t>
  </si>
  <si>
    <t>EP-002</t>
  </si>
  <si>
    <t>หลอดเล็ก</t>
  </si>
  <si>
    <r>
      <rPr>
        <rFont val="Calibri, sans-serif"/>
        <color rgb="FF1155CC"/>
        <sz val="11.0"/>
        <u/>
      </rPr>
      <t>https://th.shp.ee/G8GZqZA</t>
    </r>
  </si>
  <si>
    <t>หลอดงอ 6 มิล สีดำ/ ห่อ ละ 100 หลอด</t>
  </si>
  <si>
    <t>EP-003</t>
  </si>
  <si>
    <t>หลอดใหญ่</t>
  </si>
  <si>
    <r>
      <rPr>
        <rFont val="Calibri, sans-serif"/>
        <color rgb="FF1155CC"/>
        <sz val="11.0"/>
        <u/>
      </rPr>
      <t>https://th.shp.ee/Qs6ze7P</t>
    </r>
  </si>
  <si>
    <t>หลอดใหญ่ ห่อฟิล์ม ปลายแหลม 11.มม. ยาว23ซม. /ห่อ ละ 100 หลอด</t>
  </si>
  <si>
    <t>RAW-159</t>
  </si>
  <si>
    <t>ถุงใส่แก้ว แบบคู่(10080ชิ้น)</t>
  </si>
  <si>
    <t>แพ็คละ 200</t>
  </si>
  <si>
    <t>RAW-160</t>
  </si>
  <si>
    <t>ถุงใส่แก้ว แบบเดี่ยว(11200ชิ้น)</t>
  </si>
  <si>
    <t>แพ็คละ 100</t>
  </si>
  <si>
    <t>EP-004</t>
  </si>
  <si>
    <t>ถุงฝาเกลียว 30ml / ใส่มัทฉะเคลียร์</t>
  </si>
  <si>
    <t>ห่อละ 50 ใบ</t>
  </si>
  <si>
    <t>EP-005</t>
  </si>
  <si>
    <t>ถุงฝาเกลียว 50ml / ใส่มัทฉะลาเต้</t>
  </si>
  <si>
    <t>EP-006</t>
  </si>
  <si>
    <t>ถุงฝาเกลียว 100ml / ใส่ของเหลว</t>
  </si>
  <si>
    <t>EP-007</t>
  </si>
  <si>
    <t>ถุงฝาเกลียว 150ml / ใส่ของเหลว</t>
  </si>
  <si>
    <t>อุปกรณื PACK</t>
  </si>
  <si>
    <t>EP-008</t>
  </si>
  <si>
    <t>ถุงฝาเกลียว 200ml / ใส่ของเหลว</t>
  </si>
  <si>
    <t>EP-009</t>
  </si>
  <si>
    <t>ถุงซีลใส 9x13cm</t>
  </si>
  <si>
    <t>กล่อง</t>
  </si>
  <si>
    <r>
      <rPr>
        <rFont val="Calibri, sans-serif"/>
        <color rgb="FF1155CC"/>
        <sz val="11.0"/>
        <u/>
      </rPr>
      <t>https://th.shp.ee/1Gr7xWp</t>
    </r>
  </si>
  <si>
    <t>แพ็คละ 100 ใบ / ถุงซีลสูญญากาศลายนูน 190ไมครอน</t>
  </si>
  <si>
    <t>EP-010</t>
  </si>
  <si>
    <t>ถุงซีลใส 12x17cm</t>
  </si>
  <si>
    <r>
      <rPr>
        <rFont val="Calibri, sans-serif"/>
        <color rgb="FF1155CC"/>
        <sz val="11.0"/>
        <u/>
      </rPr>
      <t>https://th.shp.ee/gygSitN</t>
    </r>
  </si>
  <si>
    <t>EP-011</t>
  </si>
  <si>
    <t>ถุงฟอยด์สีเงินทึบ 15x25cm</t>
  </si>
  <si>
    <r>
      <rPr>
        <rFont val="Calibri, sans-serif"/>
        <color rgb="FF1155CC"/>
        <sz val="11.0"/>
        <u/>
      </rPr>
      <t>https://th.shp.ee/XogQs8d</t>
    </r>
  </si>
  <si>
    <t>แพ็คละ 100 ใบ / ถุงสูญญากาศ ฟอยล์ทึบ ซีล 3 ด้าน</t>
  </si>
  <si>
    <t>EP-012</t>
  </si>
  <si>
    <t>ถุงซิปเล็กใส่ Crispy Coco 3x5cm</t>
  </si>
  <si>
    <r>
      <rPr>
        <rFont val="Calibri, sans-serif"/>
        <color rgb="FF1155CC"/>
        <sz val="11.0"/>
        <u/>
      </rPr>
      <t>https://th.shp.ee/JDJ3vwc</t>
    </r>
  </si>
  <si>
    <t>ถุงซิปใส เกรด A+ แพ็ค 1 กิโล = 4,000 ใบ</t>
  </si>
  <si>
    <t>EP-013</t>
  </si>
  <si>
    <t>ถุงซิปเล็กใส่ Crispy Coco 4x6cm</t>
  </si>
  <si>
    <r>
      <rPr>
        <rFont val="Calibri, sans-serif"/>
        <color rgb="FF1155CC"/>
        <sz val="11.0"/>
        <u/>
      </rPr>
      <t>https://th.shp.ee/JDJ3vwc</t>
    </r>
  </si>
  <si>
    <t>ถุงซิปใส เกรด A+ แพ็ค 1 กิโล = 2,200 ใบ</t>
  </si>
  <si>
    <t>EP-014</t>
  </si>
  <si>
    <t>ถุงน้ำแข็งซิปล็อค (เล็ก)</t>
  </si>
  <si>
    <t>ลัง</t>
  </si>
  <si>
    <r>
      <rPr>
        <rFont val="Calibri, sans-serif"/>
        <color rgb="FF1155CC"/>
        <sz val="11.0"/>
        <u/>
      </rPr>
      <t>https://th.shp.ee/G6htD1s</t>
    </r>
  </si>
  <si>
    <t>16 Oz.(มีพิมพ์) ยกลัง = 2,000 ใบ ( 20 แพ็ค / 100ใบ)</t>
  </si>
  <si>
    <t>EP-015</t>
  </si>
  <si>
    <t>เอโร่ ถุงหูหิ้ว PE 8x16" 1kg.</t>
  </si>
  <si>
    <t>Makro</t>
  </si>
  <si>
    <t>EP-016</t>
  </si>
  <si>
    <t>เอโร่ ถุงเย็น 6x9" 1kg.</t>
  </si>
  <si>
    <t>อุปกรณ์ ทั่วไป</t>
  </si>
  <si>
    <t>EP-017</t>
  </si>
  <si>
    <t>ถุงมือยางไซส์ S สีดำ</t>
  </si>
  <si>
    <t>EP-018</t>
  </si>
  <si>
    <t>ถุงมือยางไซส์ M สีดำ</t>
  </si>
  <si>
    <t>EP-019</t>
  </si>
  <si>
    <t>ถุงมือยางไซส์ L สีดำ</t>
  </si>
  <si>
    <t>EP-020</t>
  </si>
  <si>
    <t>ถุงดำ ไซส์กลาง</t>
  </si>
  <si>
    <t>EP-021</t>
  </si>
  <si>
    <t>ถุงดำ ไซส์ใหญ่</t>
  </si>
  <si>
    <t>RAW-029</t>
  </si>
  <si>
    <t>Matcha Zip Back Green with Belt 14*14*8</t>
  </si>
  <si>
    <t>ถุง แพ็ค Matcha สีเขียว มีเชือก 14*14*8</t>
  </si>
  <si>
    <t>RAW-030</t>
  </si>
  <si>
    <t>Matcha Zip Back Green emerald 9*18*7.5</t>
  </si>
  <si>
    <t>ถุง แพ็ค Matcha สีเขียว   9*18*7.5</t>
  </si>
  <si>
    <t>RAW-031</t>
  </si>
  <si>
    <t>Matcha Zip Back Brown Craft  13.5*14.5+8</t>
  </si>
  <si>
    <t>ถุง แพ็ค Matcha สีน้ำตาล   13.5*14.5x8</t>
  </si>
  <si>
    <t>RAW-032</t>
  </si>
  <si>
    <t>Matcha Zip Back Light Green 13.5*14.5+8</t>
  </si>
  <si>
    <t>ถุง แพ็ค Matcha สีเขียวอ่อน   9*18*7.5</t>
  </si>
  <si>
    <t>RAW-050</t>
  </si>
  <si>
    <t>ถุงซิลิโคน เก็บน้ำแข็งก้อน</t>
  </si>
  <si>
    <t>EP-022</t>
  </si>
  <si>
    <t>กระดาษทิชชู่ เช็ดปาก</t>
  </si>
  <si>
    <t>EP-023</t>
  </si>
  <si>
    <t>กระดาษทิชชู่ ซับมัน</t>
  </si>
  <si>
    <t>MAXMO</t>
  </si>
  <si>
    <t>EP-024</t>
  </si>
  <si>
    <t>ปากกา</t>
  </si>
  <si>
    <t>EP-025</t>
  </si>
  <si>
    <t>ปากกาเมจิค</t>
  </si>
  <si>
    <t>EP-026</t>
  </si>
  <si>
    <t>ปากกาเมจิคเขียนแก้ว</t>
  </si>
  <si>
    <t>EP-027</t>
  </si>
  <si>
    <t>ปากกาไฮไลท์</t>
  </si>
  <si>
    <t>EP-028</t>
  </si>
  <si>
    <t>คัทเตอร์</t>
  </si>
  <si>
    <t>EP-029</t>
  </si>
  <si>
    <t>กรรไกร</t>
  </si>
  <si>
    <t>EP-030</t>
  </si>
  <si>
    <t>แท่นวางสก๊อตเทปใส</t>
  </si>
  <si>
    <t>EP-031</t>
  </si>
  <si>
    <t>สก๊อตเทปใส</t>
  </si>
  <si>
    <t>EP-032</t>
  </si>
  <si>
    <t>สติกเกอร์พิมพ์ Niimbot</t>
  </si>
  <si>
    <t>EP-033</t>
  </si>
  <si>
    <t>กระดาษพิมพ์ใบเสร็จ 57x50</t>
  </si>
  <si>
    <t>สำหรับ Sunmi V3 (เครื่อง POS)</t>
  </si>
  <si>
    <t>EP-034</t>
  </si>
  <si>
    <t>ตัวแม็ก</t>
  </si>
  <si>
    <t>EP-035</t>
  </si>
  <si>
    <t>ลูกแม็ก</t>
  </si>
  <si>
    <t>EP-036</t>
  </si>
  <si>
    <t>แท่นเสียบบิล</t>
  </si>
  <si>
    <t>EP-037</t>
  </si>
  <si>
    <t>กล่องใส่แก้ว/ฝา/หลอด/ทิชชู่ : A</t>
  </si>
  <si>
    <t>EP-038</t>
  </si>
  <si>
    <t>กล่องใส่แก้ว/ฝา/หลอด/ทิชชู่ : B</t>
  </si>
  <si>
    <t>RAW-066</t>
  </si>
  <si>
    <t>กล่องเค้ก tiramisu</t>
  </si>
  <si>
    <t>RAW-100</t>
  </si>
  <si>
    <t xml:space="preserve">ตลับ 30ml </t>
  </si>
  <si>
    <t>RAW-008-2</t>
  </si>
  <si>
    <t>บล็อคทำน้ำแข็ง</t>
  </si>
  <si>
    <t>ชิ้น</t>
  </si>
  <si>
    <t>RAW-008-1</t>
  </si>
  <si>
    <t>ฝาบล็อค</t>
  </si>
  <si>
    <t>RAW-008</t>
  </si>
  <si>
    <t>Ice Cube Silicone Box 16 Cube</t>
  </si>
  <si>
    <t>บล็อกแช่น้ำแข็ง</t>
  </si>
  <si>
    <t>ชุด</t>
  </si>
  <si>
    <t>ถุงฟอยเก็บความเย็น 20x20</t>
  </si>
  <si>
    <t>ถุง</t>
  </si>
  <si>
    <t>ถุงฟอยเก็บความเย็น 25x25</t>
  </si>
  <si>
    <t>RAW-004</t>
  </si>
  <si>
    <t>Hibi Zen Canister 200ml.</t>
  </si>
  <si>
    <t>กระป๋องชา 304 ขนาด200ml.</t>
  </si>
  <si>
    <t>RAW-003</t>
  </si>
  <si>
    <t>Hibi Zen Canister 170ml.</t>
  </si>
  <si>
    <t>กระป๋องชา 304 ขนาด 170ml.</t>
  </si>
  <si>
    <t>RAW-120</t>
  </si>
  <si>
    <t>ที่ทุบน้ำแข็ง(30cm) *5</t>
  </si>
  <si>
    <t>RAW-156</t>
  </si>
  <si>
    <t>ถ้วยทอง</t>
  </si>
  <si>
    <t>อุปกรณ์ชง</t>
  </si>
  <si>
    <t>RAW-118</t>
  </si>
  <si>
    <t>กระป๋องใส่ชา 304 Screen hibi (170g) ขนาด12*8cm</t>
  </si>
  <si>
    <t>โหล</t>
  </si>
  <si>
    <t>Hibi</t>
  </si>
  <si>
    <t>RAW-119</t>
  </si>
  <si>
    <t>กระป๋องใส่ชา 304 Screen hibi (200g)  ขนาด14*8cm</t>
  </si>
  <si>
    <t>EP-039</t>
  </si>
  <si>
    <t>ชาเซ็น / ไม้</t>
  </si>
  <si>
    <t>อัน</t>
  </si>
  <si>
    <t>EP-040</t>
  </si>
  <si>
    <t>ชาเซ็น / เรซิ่น</t>
  </si>
  <si>
    <t>RAW-016</t>
  </si>
  <si>
    <t>Hibi Tsuki Chawan</t>
  </si>
  <si>
    <t>ถ้วยตีมัทฉะ Hibi Tsuki 500ml</t>
  </si>
  <si>
    <t>ถ้วย</t>
  </si>
  <si>
    <t>RAW-058</t>
  </si>
  <si>
    <t>ถ้วย Chawan สีเทาดำ 300ml</t>
  </si>
  <si>
    <t>RAW-059</t>
  </si>
  <si>
    <t>ถ้วย Chawan สีเทาดำ 500ml</t>
  </si>
  <si>
    <t>RAW-060</t>
  </si>
  <si>
    <t>ถ้วย Chawan สี Matcha 300ml</t>
  </si>
  <si>
    <t>RAW-061</t>
  </si>
  <si>
    <t>ถ้วย Chawan สี Matcha 500ml</t>
  </si>
  <si>
    <t>RAW-062</t>
  </si>
  <si>
    <t>ถ้วย Chawan สี Blue Sky 300ml</t>
  </si>
  <si>
    <t>RAW-063</t>
  </si>
  <si>
    <t>ถ้วย Chawan สี Blue Sky 500ml</t>
  </si>
  <si>
    <t>RAW-064</t>
  </si>
  <si>
    <t>ถ้วย Chawan สี Matcha Latte 300ml</t>
  </si>
  <si>
    <t>RAW-065</t>
  </si>
  <si>
    <t>ถ้วย Chawan สี Matcha Latte 500ml</t>
  </si>
  <si>
    <t>RAW-104</t>
  </si>
  <si>
    <t>ถ้วย แบบที่1 สีเขียว</t>
  </si>
  <si>
    <t>RAW-105</t>
  </si>
  <si>
    <t>ถ้วย แบบที่1 สีครีม</t>
  </si>
  <si>
    <t>RAW-106</t>
  </si>
  <si>
    <t>ถ้วย แบบที่2 สีเขียว</t>
  </si>
  <si>
    <t>RAW-107</t>
  </si>
  <si>
    <t>ถ้วย แบบที่2 สีครีม</t>
  </si>
  <si>
    <t>RAW-108</t>
  </si>
  <si>
    <t>ถ้วย แบบที่3 สีเขียว</t>
  </si>
  <si>
    <t>RAW-109</t>
  </si>
  <si>
    <t>ถ้วย แบบที่3 สีครีม</t>
  </si>
  <si>
    <t>RAW-110</t>
  </si>
  <si>
    <t>ถ้วย แบบที่4 สีเขียว</t>
  </si>
  <si>
    <t>RAW-111</t>
  </si>
  <si>
    <t>ถ้วย แบบที่4 สีครีม</t>
  </si>
  <si>
    <t>RAW-145</t>
  </si>
  <si>
    <t>Reverse cup(retro green)220ml*2</t>
  </si>
  <si>
    <t>ถ้วยทรงกลับด้าน (สีเขียว) 220ml*2</t>
  </si>
  <si>
    <t>RAW-146</t>
  </si>
  <si>
    <t>Eggshell cup(retro green)200ml*4</t>
  </si>
  <si>
    <t>ถ้วยทรงเปลือกไข่200ml*4</t>
  </si>
  <si>
    <t>RAW-147</t>
  </si>
  <si>
    <t>Drum cup (retro green)180ml*5</t>
  </si>
  <si>
    <t>ถ้วยทรงดรัม180ml*5</t>
  </si>
  <si>
    <t>RAW-148</t>
  </si>
  <si>
    <t>Conical cup(retro green)200ml*2</t>
  </si>
  <si>
    <t>ถ้วยทรงกรวย200ml*2</t>
  </si>
  <si>
    <t>RAW-155</t>
  </si>
  <si>
    <t>ถ้วยวางตะแกรงร่อน 10.5cm*5.5cm (50ml)</t>
  </si>
  <si>
    <t>RAW-121</t>
  </si>
  <si>
    <t>กระปุกซอส50ml</t>
  </si>
  <si>
    <t>RAW-122</t>
  </si>
  <si>
    <t>กระปุกซอส70ml</t>
  </si>
  <si>
    <t>RAW-139</t>
  </si>
  <si>
    <t>Edge-FREE Coaster(Dark)*10</t>
  </si>
  <si>
    <t>ที่รองแก้ว ไม่มีขอบ(สีเข้ม)*10</t>
  </si>
  <si>
    <t>RAW-140</t>
  </si>
  <si>
    <t>Edge-FREE Coaster (light color)*10</t>
  </si>
  <si>
    <t>ที่รองแก้ว ไม่มีขอบ(สีอ่อน)*10</t>
  </si>
  <si>
    <t>RAW-143</t>
  </si>
  <si>
    <t>Coasters along(dark)*10</t>
  </si>
  <si>
    <t>ที่รองแก้ว มีขอบ(สีเข้ม)*10</t>
  </si>
  <si>
    <t>RAW-144</t>
  </si>
  <si>
    <t>Coasters along(light color)*10</t>
  </si>
  <si>
    <t>ที่รองแก้ว มีขอบ(สีอ่อน)*10</t>
  </si>
  <si>
    <t>ถ้วยเทผงชา</t>
  </si>
  <si>
    <t>ถ้วยแช่ชาเซ็น</t>
  </si>
  <si>
    <t>RAW-154</t>
  </si>
  <si>
    <t>Tea Strainer*20</t>
  </si>
  <si>
    <t>ตะแกรงร่อนชา*20</t>
  </si>
  <si>
    <t>RAW-077</t>
  </si>
  <si>
    <t>Stoneware Fair Cup 150ml.</t>
  </si>
  <si>
    <t>ถ้วยชา ขรุขระ สีขาว</t>
  </si>
  <si>
    <t>RAW-085</t>
  </si>
  <si>
    <t>ตลับ ใส่ลูกเหล็กร่อน 5ml</t>
  </si>
  <si>
    <t>RAW-001</t>
  </si>
  <si>
    <t>Matcha Sifter Ball Model A</t>
  </si>
  <si>
    <t>ลูกเหล็กร่อน set A</t>
  </si>
  <si>
    <t>เซต</t>
  </si>
  <si>
    <t>RAW-002</t>
  </si>
  <si>
    <t>Matcha Sifter Ball Model B</t>
  </si>
  <si>
    <t>ลูกเหล็กร่อน set B</t>
  </si>
  <si>
    <t>RAW-023</t>
  </si>
  <si>
    <t xml:space="preserve">Matcha Sifter Ball Box + Foam </t>
  </si>
  <si>
    <t>กล่องใส่ ลุกเหล็กร่อนขนาด 1 ชิ้น</t>
  </si>
  <si>
    <t>ช้อนไม้ตักชา</t>
  </si>
  <si>
    <t>RAW-153</t>
  </si>
  <si>
    <t>แปรงปัดชา Titanium wood*5</t>
  </si>
  <si>
    <t>แปรงปัดชา*5</t>
  </si>
  <si>
    <t>แก้วใส่แปรงและไม้ตักชา</t>
  </si>
  <si>
    <t>RAW-005</t>
  </si>
  <si>
    <t>Hibi pouring cup 100ml.</t>
  </si>
  <si>
    <t>ถ้วย ขนาด 100ml สกรีน Logo Hibi</t>
  </si>
  <si>
    <t>RAW-006</t>
  </si>
  <si>
    <t>Hibi pouring cup 120ml.</t>
  </si>
  <si>
    <t>ถ้วย ขนาด 120ml สกรีน Logo Hibi</t>
  </si>
  <si>
    <t>RAW-007</t>
  </si>
  <si>
    <t>Hibi pouring cup 200ml.</t>
  </si>
  <si>
    <t>ถ้วย ขนาด 200ml สกรีน Logo Hibi</t>
  </si>
  <si>
    <t>EP-041</t>
  </si>
  <si>
    <t>ถ้วยตวงไซรัป</t>
  </si>
  <si>
    <t>KCCFOOD</t>
  </si>
  <si>
    <t>RAW-103</t>
  </si>
  <si>
    <t>ถ้วยสแตนเลส 70ml(10อัน/set ทั้งหมด100set=10000อัน)</t>
  </si>
  <si>
    <t>EP-042</t>
  </si>
  <si>
    <t>ช้อนยาวสำหรับคน 26 CM.</t>
  </si>
  <si>
    <t>EP-043</t>
  </si>
  <si>
    <t>ที่คีบเปลือก Honey lemon 23 cm.</t>
  </si>
  <si>
    <t>KCC FOOD</t>
  </si>
  <si>
    <t>RAW-124</t>
  </si>
  <si>
    <t>ที่คีบขนม*10</t>
  </si>
  <si>
    <t>EP-044</t>
  </si>
  <si>
    <t>แก้วแช่ช้อน</t>
  </si>
  <si>
    <t>แก้ว</t>
  </si>
  <si>
    <t>EP-045</t>
  </si>
  <si>
    <t>ถาดไม้วางอุปกรณ์ชุดชง</t>
  </si>
  <si>
    <t>ถาด</t>
  </si>
  <si>
    <t>EP-046</t>
  </si>
  <si>
    <t>แผ่นยางรองชงกันหก</t>
  </si>
  <si>
    <t>แผ่น</t>
  </si>
  <si>
    <t>EP-047</t>
  </si>
  <si>
    <t>ขวดบีบ 450 ml.</t>
  </si>
  <si>
    <t>ขวด</t>
  </si>
  <si>
    <t>RAW-052</t>
  </si>
  <si>
    <t>ขวดแก้วใส่Toppingโรย 120ml.</t>
  </si>
  <si>
    <t>RAW-053</t>
  </si>
  <si>
    <t xml:space="preserve">ขวดปั๊มไซรัป ฝาดำ 300ml </t>
  </si>
  <si>
    <t>RAW-054</t>
  </si>
  <si>
    <t>ขวดปั๊มไซรัป ฝาดำ 500ml</t>
  </si>
  <si>
    <t>RAW-055</t>
  </si>
  <si>
    <t>ขวดปั๊มไซรัป ฝาขาว 300ml</t>
  </si>
  <si>
    <t>RAW-056</t>
  </si>
  <si>
    <t>ขวดปั๊มไซรัป ฝาขาว 500ml</t>
  </si>
  <si>
    <t>กระบอก 750 ml.</t>
  </si>
  <si>
    <t>จุกปิดขวด</t>
  </si>
  <si>
    <t>ที่เปิดฝา</t>
  </si>
  <si>
    <t>ที่คีบน้ำแข็ง</t>
  </si>
  <si>
    <t>ถาดสแตนเลสใส่ Topping</t>
  </si>
  <si>
    <t>RAW-113</t>
  </si>
  <si>
    <t xml:space="preserve">Pudding Cup120ml *500 </t>
  </si>
  <si>
    <t>ถ้วยพุดดิ้ง*500ชิ้น</t>
  </si>
  <si>
    <t>RAW-157</t>
  </si>
  <si>
    <t>Pudding Cup100ml *200</t>
  </si>
  <si>
    <t>ถ้วยพุดดิ้ง 100ml.*200</t>
  </si>
  <si>
    <t>หม้อ 1L.</t>
  </si>
  <si>
    <t>ถาดไม้วางแก้ว(เสิร์ฟหน้าร้าน) ไซส์ S</t>
  </si>
  <si>
    <t>ถาดไม้วางแก้ว(เสิร์ฟหน้าร้าน) ไซส์ M</t>
  </si>
  <si>
    <t>ถาดไม้วางแก้ว(เสิร์ฟหน้าร้าน) ไซส์ L</t>
  </si>
  <si>
    <t>ถาดไม้วางแก้ว(เสิร์ฟหน้าร้าน) ไซส์ XL</t>
  </si>
  <si>
    <t>RAW-101</t>
  </si>
  <si>
    <t>ถาด (สีน้ำตาล ขนาด24*24)</t>
  </si>
  <si>
    <t>RAW-102</t>
  </si>
  <si>
    <t>ถาด (สีดำ ขนาด24*24)</t>
  </si>
  <si>
    <t>RAW-135</t>
  </si>
  <si>
    <t>Tray Square (Charcoal Burn Black24*24)</t>
  </si>
  <si>
    <t>ถาดสี่เหลี่ยม (สีดำถ่าน 24*24 ซม.)</t>
  </si>
  <si>
    <t>RAW-136</t>
  </si>
  <si>
    <t>Tray Square (walnut color 24*24)</t>
  </si>
  <si>
    <t>ถาดสี่เหลี่ยม (สีวอลนัท 24*24 ซม.)</t>
  </si>
  <si>
    <t>RAW-137</t>
  </si>
  <si>
    <t>Japanese Style Retro(tray small-dark)*3</t>
  </si>
  <si>
    <t>ถาดญี่ปุ่นย้อนยุค (เล็ก-สีเข้ม)*3</t>
  </si>
  <si>
    <t>RAW-138</t>
  </si>
  <si>
    <t>Japanese Style Retro(tray small-light color)*2</t>
  </si>
  <si>
    <t>ถาดญี่ปุ่นย้อนยุค (เล็ก-สีอ่อน)*2</t>
  </si>
  <si>
    <t>RAW-141</t>
  </si>
  <si>
    <t>Rectangular tray large (dark)*2</t>
  </si>
  <si>
    <t>ถาดสี่เหลี่ยมผืนผ้าขนาดใหญ่ (สีเข้ม)*2</t>
  </si>
  <si>
    <t>RAW-142</t>
  </si>
  <si>
    <t>Rectangular tray large (light color)*3</t>
  </si>
  <si>
    <t>ถาดสี่เหลี่ยมผืนผ้าขนาดใหญ่ (สีอ่อน)*3</t>
  </si>
  <si>
    <t>RAW-149</t>
  </si>
  <si>
    <t>Walnut color long bamboo tray-large size(36*25*4)*2</t>
  </si>
  <si>
    <t>(ถาดเสริฟ-คิดเงิน)ทรงยาว-ใหญ่ (36*25*4 ซม.) สีวอลนัท*2</t>
  </si>
  <si>
    <t>RAW-150</t>
  </si>
  <si>
    <t>Walnut color-right angle tray (22*13*2.5)*10</t>
  </si>
  <si>
    <t>(ถาดเสริฟ-คิดเงิน)มุมฉากสีวอลนัท (22*13*2.5)*10</t>
  </si>
  <si>
    <t>RAW-151</t>
  </si>
  <si>
    <t>Walnut color-right angle tray(33*22*2.5)*10</t>
  </si>
  <si>
    <t>(ถาดเสริฟ-คิดเงิน)มุมฉากสีวอลนัท (33*22*2.5)*10</t>
  </si>
  <si>
    <t>RAW-152</t>
  </si>
  <si>
    <t>Walnut color-handle tray (33*22*4)*2</t>
  </si>
  <si>
    <t>(ถาดเสริฟ-คิดเงิน)ด้ามจับสีวอลนัท (33*22*4)*2</t>
  </si>
  <si>
    <t>เครื่องใช้ไฟฟ้าเล็ก</t>
  </si>
  <si>
    <t>เครื่องปริ้นสติกเกอร์ Niimbot</t>
  </si>
  <si>
    <t>เครื่อง</t>
  </si>
  <si>
    <t>Sunmi V3 Android 13 (เครื่อง POS)</t>
  </si>
  <si>
    <t>SUNMI TH</t>
  </si>
  <si>
    <t>RAW-099</t>
  </si>
  <si>
    <t>Digital Kitchen Scale</t>
  </si>
  <si>
    <t>ตาชั่ง</t>
  </si>
  <si>
    <t>RAW-130</t>
  </si>
  <si>
    <t>เครื่องซีลถุง(ตัวเครื่องพลาสติก)</t>
  </si>
  <si>
    <t>RAW-131</t>
  </si>
  <si>
    <t>เครื่องซีลถุง(ตัวเครื่องโลหะ)</t>
  </si>
  <si>
    <t>เครื่องปั่นมูลิเนต</t>
  </si>
  <si>
    <t>เครื่องตีผสมขนม</t>
  </si>
  <si>
    <t>เครื่องตีมือถือ</t>
  </si>
  <si>
    <t>เครื่องอบขนม แบบ All in one</t>
  </si>
  <si>
    <t>เครื่องอุ่นร้อนตีฟองนม</t>
  </si>
  <si>
    <t>RAW-112</t>
  </si>
  <si>
    <t>Milk Frother 900ml*3</t>
  </si>
  <si>
    <t>เครื่องทำฟองนม</t>
  </si>
  <si>
    <t>กาน้ำร้อนไฟฟ้า</t>
  </si>
  <si>
    <t>เครื่องอบชาเซน</t>
  </si>
  <si>
    <t>เครื่องกรองน้ำ</t>
  </si>
  <si>
    <r>
      <rPr>
        <rFont val="Calibri, sans-serif"/>
        <color rgb="FF1155CC"/>
        <sz val="11.0"/>
        <u/>
      </rPr>
      <t>https://s.shopee.co.th/6fYWseX5kN?share_channel_code=6</t>
    </r>
  </si>
  <si>
    <t>รวมไส้กรอง</t>
  </si>
  <si>
    <t>เครื่องใช้ไฟฟ้าใหญ่</t>
  </si>
  <si>
    <t>ตู้แช่แข็งแนวตั้ง</t>
  </si>
  <si>
    <t>ตู้แช่แข็งฝาบน</t>
  </si>
  <si>
    <t>ตู้แช่เย็นประตูกระจก</t>
  </si>
  <si>
    <t>เครื่องทำน้ำแข็ง Shanben</t>
  </si>
  <si>
    <t>เคาท์เตอร์ชงA 210cm (แบบตู้แช่เย็น)</t>
  </si>
  <si>
    <t>เคาท์เตอร์ชงB 120cm (แบบตู้แช่เย็น)</t>
  </si>
  <si>
    <t>เคาท์เตอร์ชงC 140cm (แบบตู้แช่แข็ง)</t>
  </si>
  <si>
    <t>RAW-022</t>
  </si>
  <si>
    <t>Hanging Lightbox Sign 40x60x10cm</t>
  </si>
  <si>
    <t xml:space="preserve">ป้ายไฟ Hibi </t>
  </si>
  <si>
    <t>MN-001</t>
  </si>
  <si>
    <t>Maple Syrup Kejinou 1000ml*100</t>
  </si>
  <si>
    <t>เมเปิ้ลไซหรับแท้ 1L</t>
  </si>
  <si>
    <t>MN-002</t>
  </si>
  <si>
    <t>Acacia Honey 250g*100</t>
  </si>
  <si>
    <t>น้ำผึ้งดอก Acacia  250g</t>
  </si>
  <si>
    <t>MN-003</t>
  </si>
  <si>
    <t>Acacia Honey 1000g*104</t>
  </si>
  <si>
    <t>น้ำ้ำผึงดอก Acacia  1000g.</t>
  </si>
  <si>
    <t>MN-004</t>
  </si>
  <si>
    <t>Acacia 7g*1500pcs</t>
  </si>
  <si>
    <t>น้ำ้ำผึงดอก Acacia แบบ7กรัม*50กล่อง(30ชิ้น/กล่อง)</t>
  </si>
  <si>
    <t>RAW-017</t>
  </si>
  <si>
    <t>Coconut  Jasmin Tea 1000ml*12</t>
  </si>
  <si>
    <t>น้ำมะพร้าวชามะลิ ขนาด 1L</t>
  </si>
  <si>
    <t>RAW-035</t>
  </si>
  <si>
    <t>Honeycomb (Acacia) 1แผ่น</t>
  </si>
  <si>
    <t>RAW-026</t>
  </si>
  <si>
    <t>Mango puree 3kg</t>
  </si>
  <si>
    <t>เนื้อมะม่วงในน้ำเชื่อมขนาด 3 kg</t>
  </si>
  <si>
    <t>RAW-027</t>
  </si>
  <si>
    <t>Mango Puree 500g</t>
  </si>
  <si>
    <t>เนื้อมะม่วงในน้ำเชื่อมขนาด 500g.</t>
  </si>
  <si>
    <t>RAW-028</t>
  </si>
  <si>
    <t>Taro Puree 800g</t>
  </si>
  <si>
    <t>เผือกในน้ำเชื่อมกระป๋อง ขนาด 800g</t>
  </si>
  <si>
    <t>RAW-036</t>
  </si>
  <si>
    <t>Oxygen Absorber 300 (food 1,000g.)</t>
  </si>
  <si>
    <t>กันชื้นขนาด 1000g</t>
  </si>
  <si>
    <t>RAW-037</t>
  </si>
  <si>
    <t>Oxygen Absorber 30 (food 20g.)</t>
  </si>
  <si>
    <t>กันชื้นขนาด 20g</t>
  </si>
  <si>
    <t>RAW-038</t>
  </si>
  <si>
    <t>Oxygen Absorber 100 (food 100g.)</t>
  </si>
  <si>
    <t>กันชื้นขนาด 100g</t>
  </si>
  <si>
    <t>RAW-039</t>
  </si>
  <si>
    <t>Milk Mochi Powder 500g.</t>
  </si>
  <si>
    <t>ผงโมจินมขนาด 500g</t>
  </si>
  <si>
    <t>RAW-040</t>
  </si>
  <si>
    <t>Cream Cheese  Light 800g</t>
  </si>
  <si>
    <t>ผงครีมชีส แบบอ่อน แบบ2</t>
  </si>
  <si>
    <t>RAW-041</t>
  </si>
  <si>
    <t>Cream Cheese  yellow 800g</t>
  </si>
  <si>
    <t>ผงครีมชีส แบบเข้ม  แบบ1</t>
  </si>
  <si>
    <t>RAW-042</t>
  </si>
  <si>
    <t>Coco Crispy</t>
  </si>
  <si>
    <t>มะพร้าวอบป่น</t>
  </si>
  <si>
    <t>RAW-043</t>
  </si>
  <si>
    <t>Butter Milk</t>
  </si>
  <si>
    <t>นมเนยขนาด 1L</t>
  </si>
  <si>
    <t>RAW-044</t>
  </si>
  <si>
    <t>Rice Mochi 500G</t>
  </si>
  <si>
    <t>โมจิข้าว 500g.</t>
  </si>
  <si>
    <t>RAW-048</t>
  </si>
  <si>
    <t>torched moji โมจิตัดก้อน original (500g*24)</t>
  </si>
  <si>
    <t>RAW-049</t>
  </si>
  <si>
    <t>torched moji โมจิตัดก้อน caramel (500g*24)</t>
  </si>
  <si>
    <t>RAW-051</t>
  </si>
  <si>
    <t>มะพร้าวแผ่น500g*40</t>
  </si>
  <si>
    <t>RAW-057</t>
  </si>
  <si>
    <t xml:space="preserve">อุปกรณ์ ร่อนชาเก็บชา แบบ set </t>
  </si>
  <si>
    <t>อุปกรณ์ ร่อนชาเก็บชา แบบกล่องของขวัญ</t>
  </si>
  <si>
    <t>RAW-067</t>
  </si>
  <si>
    <t>Coconut milk(plantagกล่องขาว) 1000ml*100</t>
  </si>
  <si>
    <t>RAW-068</t>
  </si>
  <si>
    <t>Coconut Water(plantagกล่องฟ้าขาว)1000ml*100*99</t>
  </si>
  <si>
    <t>RAW-069</t>
  </si>
  <si>
    <t>Crispy coco แบบป่น 500g*40</t>
  </si>
  <si>
    <t>RAW-070</t>
  </si>
  <si>
    <t>การ์ด review Delivery</t>
  </si>
  <si>
    <t>RAW-071</t>
  </si>
  <si>
    <t>Milk Lab Lactose 1000ml*36</t>
  </si>
  <si>
    <t>นมlactose free</t>
  </si>
  <si>
    <t>MN-005</t>
  </si>
  <si>
    <t>เผือกกระป๋อง 800g.*40</t>
  </si>
  <si>
    <t>MN-006</t>
  </si>
  <si>
    <t>ถั่วแดงกระป๋อง 850g.*20</t>
  </si>
  <si>
    <t>RAW-074</t>
  </si>
  <si>
    <t>สติกเกอร์ติดถุงชา</t>
  </si>
  <si>
    <t>RAW-075</t>
  </si>
  <si>
    <t>Moji แผ่น 5แผ่น/แพ็ค*10</t>
  </si>
  <si>
    <t>RAW-078</t>
  </si>
  <si>
    <t>Butter Milk 1000ml*12</t>
  </si>
  <si>
    <t>RAW-079</t>
  </si>
  <si>
    <t>Rice Moji 500g*20</t>
  </si>
  <si>
    <t>โมจิข้าว ฉลากครีม</t>
  </si>
  <si>
    <t>RAW-080</t>
  </si>
  <si>
    <t>Milk Moji 500g*40</t>
  </si>
  <si>
    <t>โมจินม ฉลากฟ้า</t>
  </si>
  <si>
    <t>RAW-083</t>
  </si>
  <si>
    <t>กล่องอาหาร</t>
  </si>
  <si>
    <t>RAW-084</t>
  </si>
  <si>
    <t>ชุดช้อนตะเกียบ</t>
  </si>
  <si>
    <t>RAW-086</t>
  </si>
  <si>
    <t>มะม่วง Puree 500g.*10</t>
  </si>
  <si>
    <t>RAW-087</t>
  </si>
  <si>
    <t>มะม่วง Puree 3kg.(3000g*5)</t>
  </si>
  <si>
    <t>RAW-089</t>
  </si>
  <si>
    <t>Caramel Crumble 500g*3</t>
  </si>
  <si>
    <t>RAW-090</t>
  </si>
  <si>
    <t>ถุงใสใส่น้ำฝาเกลียว(ฝา1.5) 50*1000</t>
  </si>
  <si>
    <t>RAW-091</t>
  </si>
  <si>
    <t>ถุงใสใส่น้ำฝาเกลียว(ฝา0.86) 150ml*1000</t>
  </si>
  <si>
    <t>RAW-092</t>
  </si>
  <si>
    <t>ถุงใสใส่น้ำฝาเกลียว(ฝา0.86)  100ml*1000</t>
  </si>
  <si>
    <t>RAW-093</t>
  </si>
  <si>
    <t>ถุงใสใส่น้ำฝาเกลียว(ฝา0.86)  50ml*1000</t>
  </si>
  <si>
    <t>RAW-094</t>
  </si>
  <si>
    <t>โมจิเสียบไม้ ออริ ไม่มีไส้ 24ห่อ(ห่อละ24ลูก)</t>
  </si>
  <si>
    <t>RAW-095</t>
  </si>
  <si>
    <t>โมจิเสียบไม้ ไส้นม 5ห่อ(ห่อละ24ลูก)</t>
  </si>
  <si>
    <t>RAW-096</t>
  </si>
  <si>
    <t>โมจิเสียบไม้ ไส้พีช 5ห่อ(ห่อละ24ลูก)</t>
  </si>
  <si>
    <t>RAW-098</t>
  </si>
  <si>
    <t>Finger Lady Swen (ลังละ20ห่อ/ ห่อละ24แท่ง,ลังละ480แท่ง)*3</t>
  </si>
  <si>
    <t>บิสกิตนิ้ว</t>
  </si>
  <si>
    <t>RAW-114</t>
  </si>
  <si>
    <t>Osmanthus Jam (1500g)</t>
  </si>
  <si>
    <t>แยมดอกหอมหมื่นหลี้(แยมออสมันทัส)</t>
  </si>
  <si>
    <t>RAW-115</t>
  </si>
  <si>
    <t>Sakura paste yam (780g)</t>
  </si>
  <si>
    <t>แยมซากุระ</t>
  </si>
  <si>
    <t>RAW-116</t>
  </si>
  <si>
    <t>Chestnut Jam (850g*20)</t>
  </si>
  <si>
    <t>แยมเกาลัด</t>
  </si>
  <si>
    <t>MN-007</t>
  </si>
  <si>
    <t>ถั่วแดงกระป๋อง(แบบบดหยาบ) 950g*100</t>
  </si>
  <si>
    <t>RAW-123</t>
  </si>
  <si>
    <t>Rose Jam 1500g*12</t>
  </si>
  <si>
    <t>แยมกุหลาบ</t>
  </si>
  <si>
    <t>RAW-126</t>
  </si>
  <si>
    <t>วนิลา paste 573g.</t>
  </si>
  <si>
    <t>RAW-127</t>
  </si>
  <si>
    <t>Caramel Syrub 15g*100</t>
  </si>
  <si>
    <t xml:space="preserve"> น้ำตาลไหม้</t>
  </si>
  <si>
    <t>RAW-128</t>
  </si>
  <si>
    <t>แป้ง 20 kg</t>
  </si>
  <si>
    <t>RAW-129</t>
  </si>
  <si>
    <t>Orange Peel 1000g.</t>
  </si>
  <si>
    <t>เปลือกส้มหั่นเต๋า 1kg.</t>
  </si>
  <si>
    <t>RAW-132</t>
  </si>
  <si>
    <t>ช้อน Milk Mochi (100/pack ,Black MS3 )*2</t>
  </si>
  <si>
    <t>RAW-133</t>
  </si>
  <si>
    <t>ช้อน Milk Mochi (100/pack ,Yellow MS3 )*2</t>
  </si>
  <si>
    <t>RAW-134</t>
  </si>
  <si>
    <t>ช้อนเค้กกล้วยหอม (100/pack)*5</t>
  </si>
  <si>
    <t>RAW-158</t>
  </si>
  <si>
    <t>แป้งโมจิBun*20000kg.</t>
  </si>
  <si>
    <t>RAW-162</t>
  </si>
  <si>
    <t>Milk Moji 500g*1</t>
  </si>
  <si>
    <t>RAW-163</t>
  </si>
  <si>
    <t>Yuzu syrub 1.5kg.*10</t>
  </si>
  <si>
    <t>RAW-164</t>
  </si>
  <si>
    <t>ซอสมันเทศบด 850g.</t>
  </si>
  <si>
    <t>RAW-165</t>
  </si>
  <si>
    <t>ซอสเผือกบด*250g.</t>
  </si>
  <si>
    <t>RAW-166</t>
  </si>
  <si>
    <t>ซอสข้าวเหนียวดำบด*850g.</t>
  </si>
  <si>
    <t>RAW-167</t>
  </si>
  <si>
    <t>ซอสถั่วแดงบด*900g.</t>
  </si>
  <si>
    <t>RAW-168</t>
  </si>
  <si>
    <t>ผงโมจิ(หน้าขาว)500g.*10ห่อ*100ห่อ</t>
  </si>
  <si>
    <t>RAW-169</t>
  </si>
  <si>
    <t>ผงโมจิ(หน้าฟ้า)500g.*100ห่อ</t>
  </si>
  <si>
    <t>Order No.</t>
  </si>
  <si>
    <t>Detail</t>
  </si>
  <si>
    <t>Price</t>
  </si>
  <si>
    <t>Rate</t>
  </si>
  <si>
    <t>Total</t>
  </si>
  <si>
    <t>Quantity</t>
  </si>
  <si>
    <t>Total Cost per Unit</t>
  </si>
  <si>
    <t>5%acc</t>
  </si>
  <si>
    <t>Shipping Cost</t>
  </si>
  <si>
    <t>Shipping Cost per unit</t>
  </si>
  <si>
    <t>Total Cost</t>
  </si>
  <si>
    <t>priceขาย</t>
  </si>
  <si>
    <t>price+vat</t>
  </si>
  <si>
    <t>Order</t>
  </si>
  <si>
    <t>Shop</t>
  </si>
  <si>
    <t>ไม่+25%</t>
  </si>
  <si>
    <t>วัตถุดิบ</t>
  </si>
  <si>
    <t>Alibaba</t>
  </si>
  <si>
    <t>Wechat H001</t>
  </si>
  <si>
    <t>สินค้าหลัก</t>
  </si>
  <si>
    <t>G396</t>
  </si>
  <si>
    <t>G399</t>
  </si>
  <si>
    <t>สินค้าหมุนเวียน</t>
  </si>
  <si>
    <t>Hibi Clear Cup 400ml.</t>
  </si>
  <si>
    <t>G387/478</t>
  </si>
  <si>
    <t>Hibi Clear Cup 500ml.</t>
  </si>
  <si>
    <t>G388/478</t>
  </si>
  <si>
    <t>Hibi Clear Cup 260ml.</t>
  </si>
  <si>
    <t>D48</t>
  </si>
  <si>
    <t>Clear Cap 90mm</t>
  </si>
  <si>
    <t>D100/143</t>
  </si>
  <si>
    <t>Beige Cap 90mm</t>
  </si>
  <si>
    <t>Green Cap 90mm</t>
  </si>
  <si>
    <t>White Cap 90mm</t>
  </si>
  <si>
    <t>ฝาแก้วขนาด 90cm สีขาว</t>
  </si>
  <si>
    <t>D36</t>
  </si>
  <si>
    <t>D46</t>
  </si>
  <si>
    <t>MN</t>
  </si>
  <si>
    <t xml:space="preserve">G </t>
  </si>
  <si>
    <t>G wechat น้ำผึ้ง</t>
  </si>
  <si>
    <t>D51</t>
  </si>
  <si>
    <t>Main</t>
  </si>
  <si>
    <t>D52</t>
  </si>
  <si>
    <t>G402</t>
  </si>
  <si>
    <t>เนื้อมะม่วงในน้ำเชื่อมขนาด 3 kg.</t>
  </si>
  <si>
    <t>เนื้อมะม่วงในน้ำเชื่อมขนาด 500g</t>
  </si>
  <si>
    <t>G409</t>
  </si>
  <si>
    <t>D53</t>
  </si>
  <si>
    <t>G423</t>
  </si>
  <si>
    <t>RAW-045</t>
  </si>
  <si>
    <t>ถ้วยขนมพร้อมฝา+ช้อน</t>
  </si>
  <si>
    <t>RAW-046</t>
  </si>
  <si>
    <t>ถ้่วแดงกระป๋อง</t>
  </si>
  <si>
    <t>ฺBakery</t>
  </si>
  <si>
    <t>G451</t>
  </si>
  <si>
    <t>G455</t>
  </si>
  <si>
    <t>G457</t>
  </si>
  <si>
    <t>D88</t>
  </si>
  <si>
    <t>D87</t>
  </si>
  <si>
    <t>D86</t>
  </si>
  <si>
    <t>D79</t>
  </si>
  <si>
    <t>D74</t>
  </si>
  <si>
    <t>D96</t>
  </si>
  <si>
    <t>D91/ในwx</t>
  </si>
  <si>
    <t>D67</t>
  </si>
  <si>
    <t>D65</t>
  </si>
  <si>
    <t>G449</t>
  </si>
  <si>
    <t>G448</t>
  </si>
  <si>
    <t>G442</t>
  </si>
  <si>
    <t>G439</t>
  </si>
  <si>
    <t>selected</t>
  </si>
  <si>
    <t>G429</t>
  </si>
  <si>
    <t>G418</t>
  </si>
  <si>
    <t>G418/G447</t>
  </si>
  <si>
    <t>G460</t>
  </si>
  <si>
    <t>G411</t>
  </si>
  <si>
    <t>D89/พี่จิ๊ปกดสั่ง</t>
  </si>
  <si>
    <t>D80</t>
  </si>
  <si>
    <t>D77</t>
  </si>
  <si>
    <t>D84</t>
  </si>
  <si>
    <t>D90</t>
  </si>
  <si>
    <t>G468</t>
  </si>
  <si>
    <t>G467</t>
  </si>
  <si>
    <t>G466</t>
  </si>
  <si>
    <t>G464</t>
  </si>
  <si>
    <t>G470</t>
  </si>
  <si>
    <t>G469</t>
  </si>
  <si>
    <t>G465/461</t>
  </si>
  <si>
    <t>G465</t>
  </si>
  <si>
    <t>*แบ่งมาเรือรถ</t>
  </si>
  <si>
    <t>D92</t>
  </si>
  <si>
    <t>D94</t>
  </si>
  <si>
    <t>D99</t>
  </si>
  <si>
    <t>ที่ี่คีบขนม*10</t>
  </si>
  <si>
    <t>D95</t>
  </si>
  <si>
    <t>RAW-125</t>
  </si>
  <si>
    <t>ผ้าแพ็ค8ผืน*10แพ็ค</t>
  </si>
  <si>
    <t>D97</t>
  </si>
  <si>
    <t>P'jeep สั่ง</t>
  </si>
  <si>
    <t>D107</t>
  </si>
  <si>
    <t>ช้อนโมจิ สีดำ (100ชิ้น/แพ็ค)*2</t>
  </si>
  <si>
    <t>ช้อนโมจิ สีเหลือง (100ชิ้น/แพ็ค)*2</t>
  </si>
  <si>
    <t>ช้อนเค้กกล้วยหอม (100ชิ้น/แพ็ค)*5</t>
  </si>
  <si>
    <t>ถ้วยวางตะแกรงร่อน</t>
  </si>
  <si>
    <t>G462</t>
  </si>
  <si>
    <t>แป้งโมจิBun*20000kg.( ถุงละ1kg.ลังละ10ถุง=2ลัง )+1000ถุง</t>
  </si>
  <si>
    <t>D117+ในwx</t>
  </si>
  <si>
    <t>D47</t>
  </si>
  <si>
    <t>แก้วhibi 610ml*5000</t>
  </si>
  <si>
    <t>G446</t>
  </si>
  <si>
    <t>D10</t>
  </si>
  <si>
    <t>D112</t>
  </si>
  <si>
    <t>D134</t>
  </si>
  <si>
    <t>G486/485</t>
  </si>
  <si>
    <t>G485</t>
  </si>
  <si>
    <t>RAW-170</t>
  </si>
  <si>
    <t>RAW-171</t>
  </si>
  <si>
    <t>RAW-172</t>
  </si>
  <si>
    <t>RAW-173</t>
  </si>
  <si>
    <t>RAW-174</t>
  </si>
  <si>
    <t>RAW-175</t>
  </si>
  <si>
    <t>RAW-176</t>
  </si>
  <si>
    <t>RAW-177</t>
  </si>
  <si>
    <t>RAW-178</t>
  </si>
  <si>
    <t>RAW-179</t>
  </si>
  <si>
    <t>RAW-180</t>
  </si>
  <si>
    <t>RAW-181</t>
  </si>
  <si>
    <t>RAW-182</t>
  </si>
  <si>
    <t>RAW-183</t>
  </si>
  <si>
    <t>RAW-184</t>
  </si>
  <si>
    <t>RAW-185</t>
  </si>
  <si>
    <t>RAW-186</t>
  </si>
  <si>
    <t>RAW-187</t>
  </si>
  <si>
    <t>RAW-188</t>
  </si>
  <si>
    <t>RAW-189</t>
  </si>
  <si>
    <t>RAW-190</t>
  </si>
  <si>
    <t>RAW-191</t>
  </si>
  <si>
    <t>RAW-192</t>
  </si>
  <si>
    <t>RAW-193</t>
  </si>
  <si>
    <t>RAW-194</t>
  </si>
  <si>
    <t>RAW-195</t>
  </si>
  <si>
    <t>RAW-196</t>
  </si>
  <si>
    <t>RAW-197</t>
  </si>
  <si>
    <t>RAW-198</t>
  </si>
  <si>
    <t>RAW-199</t>
  </si>
  <si>
    <t>RAW-200</t>
  </si>
  <si>
    <t>RAW-201</t>
  </si>
  <si>
    <t>RAW-202</t>
  </si>
  <si>
    <t>RAW-203</t>
  </si>
  <si>
    <t>RAW-204</t>
  </si>
  <si>
    <t>RAW-205</t>
  </si>
  <si>
    <t>RAW-206</t>
  </si>
  <si>
    <t>RAW-207</t>
  </si>
  <si>
    <t>RAW-208</t>
  </si>
  <si>
    <t>RAW-209</t>
  </si>
  <si>
    <t>RAW-210</t>
  </si>
  <si>
    <t>RAW-211</t>
  </si>
  <si>
    <t>RAW-212</t>
  </si>
  <si>
    <t>RAW-213</t>
  </si>
  <si>
    <t>RAW-214</t>
  </si>
  <si>
    <t>RAW-215</t>
  </si>
  <si>
    <t>RAW-216</t>
  </si>
  <si>
    <t>RAW-217</t>
  </si>
  <si>
    <t>RAW-218</t>
  </si>
  <si>
    <t>RAW-219</t>
  </si>
  <si>
    <t>RAW-220</t>
  </si>
  <si>
    <t>RAW-221</t>
  </si>
  <si>
    <t>RAW-222</t>
  </si>
  <si>
    <t>RAW-223</t>
  </si>
  <si>
    <t>RAW-224</t>
  </si>
  <si>
    <t>RAW-225</t>
  </si>
  <si>
    <t>RAW-226</t>
  </si>
  <si>
    <t>RAW-227</t>
  </si>
  <si>
    <t>RAW-228</t>
  </si>
  <si>
    <t>RAW-229</t>
  </si>
  <si>
    <t>RAW-230</t>
  </si>
  <si>
    <t>RAW-231</t>
  </si>
  <si>
    <t>RAW-232</t>
  </si>
  <si>
    <t>RAW-233</t>
  </si>
  <si>
    <t>RAW-234</t>
  </si>
  <si>
    <t>RAW-235</t>
  </si>
  <si>
    <t>RAW-236</t>
  </si>
  <si>
    <t>RAW-237</t>
  </si>
  <si>
    <t>RAW-238</t>
  </si>
  <si>
    <t>RAW-239</t>
  </si>
  <si>
    <t>RAW-240</t>
  </si>
  <si>
    <t>RAW-241</t>
  </si>
  <si>
    <t>RAW-242</t>
  </si>
  <si>
    <t>RAW-243</t>
  </si>
  <si>
    <t>RAW-244</t>
  </si>
  <si>
    <t>RAW-245</t>
  </si>
  <si>
    <t>RAW-246</t>
  </si>
  <si>
    <t>RAW-247</t>
  </si>
  <si>
    <t>RAW-248</t>
  </si>
  <si>
    <t>RAW-249</t>
  </si>
  <si>
    <t>RAW-250</t>
  </si>
  <si>
    <t>RAW-251</t>
  </si>
  <si>
    <t>RAW-252</t>
  </si>
  <si>
    <t>RAW-253</t>
  </si>
  <si>
    <t>RAW-254</t>
  </si>
  <si>
    <t>RAW-255</t>
  </si>
  <si>
    <t>RAW-256</t>
  </si>
  <si>
    <t>RAW-257</t>
  </si>
  <si>
    <t>RAW-258</t>
  </si>
  <si>
    <t>RAW-259</t>
  </si>
  <si>
    <t>RAW-260</t>
  </si>
  <si>
    <t>RAW-261</t>
  </si>
  <si>
    <t>RAW-262</t>
  </si>
  <si>
    <t>RAW-263</t>
  </si>
  <si>
    <t>RAW-264</t>
  </si>
  <si>
    <t>RAW-265</t>
  </si>
  <si>
    <t>RAW-266</t>
  </si>
  <si>
    <t>RAW-267</t>
  </si>
  <si>
    <t>RAW-268</t>
  </si>
  <si>
    <t>RAW-269</t>
  </si>
  <si>
    <t>RAW-270</t>
  </si>
  <si>
    <t>RAW-271</t>
  </si>
  <si>
    <t>อธิบาย</t>
  </si>
  <si>
    <t>เหลือ</t>
  </si>
  <si>
    <t>Alert</t>
  </si>
  <si>
    <t>สถานะ</t>
  </si>
  <si>
    <t>อุปกรณ์ทั่วไป</t>
  </si>
  <si>
    <t>ด้าม</t>
  </si>
  <si>
    <t>House</t>
  </si>
  <si>
    <t>เล่ม</t>
  </si>
  <si>
    <t>อุปกรณ์ใช้หน้าร้าน</t>
  </si>
  <si>
    <t>กระป๋อง</t>
  </si>
  <si>
    <t>ใบ</t>
  </si>
  <si>
    <t>ตะแกรง</t>
  </si>
  <si>
    <t>คัน</t>
  </si>
  <si>
    <t>ขวดแก้วใส่ไซรัปแบบหัวปั๊ม</t>
  </si>
  <si>
    <t>อุปกรณ์ใช้หลังร้าน</t>
  </si>
  <si>
    <t>อุปกรณ์ทำความสะอาด</t>
  </si>
  <si>
    <t xml:space="preserve">ผ้าเช็ดโต๊ะลูกค้า </t>
  </si>
  <si>
    <t>แบ่งตามสี</t>
  </si>
  <si>
    <t>ผืน</t>
  </si>
  <si>
    <t>ผ้าเช็ดเคาน์เตอร์บาร์</t>
  </si>
  <si>
    <t>ผ้าเช็ดแก้ว / เช็ดภาชนะ</t>
  </si>
  <si>
    <t>ผ้าเช็ดมือพนักงาน</t>
  </si>
  <si>
    <t>ผ้าเช็ดกระจก</t>
  </si>
  <si>
    <t>ไม้กวาด</t>
  </si>
  <si>
    <t>ไม้ถูพื้น</t>
  </si>
  <si>
    <t>ถังน้ำถูพื้น</t>
  </si>
  <si>
    <t>ถัง</t>
  </si>
  <si>
    <t>แปรงขัดแผ่นยาง</t>
  </si>
  <si>
    <t>เครื่องใช้ไฟฟ้าหน้าร้าน</t>
  </si>
  <si>
    <t>เครื่องใช้ไฟฟ้าหลังร้าน</t>
  </si>
  <si>
    <t>เครื่องปั่น</t>
  </si>
  <si>
    <t>Matcha</t>
  </si>
  <si>
    <t>M01 Kagoshima Chiran " Asanoka "</t>
  </si>
  <si>
    <t>g</t>
  </si>
  <si>
    <t>M10 Yame Saemidori</t>
  </si>
  <si>
    <t>M11 Yame Okumidori</t>
  </si>
  <si>
    <t>M15 Yame Hōjun</t>
  </si>
  <si>
    <t>M18 Hibi Daichi Blend</t>
  </si>
  <si>
    <t>M21 Sayaka</t>
  </si>
  <si>
    <t>M23 Noko</t>
  </si>
  <si>
    <t>M26 Kagoshima Okumidori</t>
  </si>
  <si>
    <t>M29 Noko Sen</t>
  </si>
  <si>
    <t>M30 Kagoshima Hiri</t>
  </si>
  <si>
    <t>M31 Kagoshima Loishi</t>
  </si>
  <si>
    <t>H01 Hojucha Kaori</t>
  </si>
  <si>
    <t>H02 Hojicha Kokoro</t>
  </si>
  <si>
    <t>H03 Hojicha Roast Aroma (EU)</t>
  </si>
  <si>
    <t>G01 Genmaicha Uguisu</t>
  </si>
  <si>
    <t>T01 Jasmine Thai Tea 50 g</t>
  </si>
  <si>
    <t>ซอง</t>
  </si>
  <si>
    <t>วัตถุดิบหลัก</t>
  </si>
  <si>
    <t>น้ำแร่ Mont Fleur 1 L</t>
  </si>
  <si>
    <t>น้ำแร่ Mont Fleur Elite Ox 550 ml</t>
  </si>
  <si>
    <t>โซดาสิงห์ 325 ml</t>
  </si>
  <si>
    <t>Coconut Plantag 1 L</t>
  </si>
  <si>
    <t>Coconut Jasmine 1 L</t>
  </si>
  <si>
    <t>Pink Coconut AllCoco 473 ml</t>
  </si>
  <si>
    <t>นมสด M Milk 2 L</t>
  </si>
  <si>
    <t>ml</t>
  </si>
  <si>
    <t>นมโอ๊ต Oatside 1 L</t>
  </si>
  <si>
    <t>นมอัลมอนด์ Almond Breeze 1 L</t>
  </si>
  <si>
    <t>นมปราศจากแลคโตส Milk Lab 1 L</t>
  </si>
  <si>
    <t>นมเนย Butter Milk 1 L</t>
  </si>
  <si>
    <t>นมข้นจืด Goodwill 1 L</t>
  </si>
  <si>
    <t>นมมะพร้าว Coconut Milk 1 L</t>
  </si>
  <si>
    <t>น้ำเชื่อม Syrup</t>
  </si>
  <si>
    <t>น้ำเชื่อมคีโต Keto syrup</t>
  </si>
  <si>
    <t>น้ำผึ้งอะคาเซีย Acacia honey</t>
  </si>
  <si>
    <t>น้ำเชื่อมเมเปิ้ล Maple syrup</t>
  </si>
  <si>
    <t>น้ำเชื่อมบราวน์ชูการ์ Brown Sugar Syrup</t>
  </si>
  <si>
    <t>Honey Lemon 50 g</t>
  </si>
  <si>
    <t>Honey Lime 50 g</t>
  </si>
  <si>
    <t xml:space="preserve"> บ๊วย 1 L</t>
  </si>
  <si>
    <t>Milk Moji Cream 50 g</t>
  </si>
  <si>
    <t>Cream Cheese Foam 50 g</t>
  </si>
  <si>
    <t>Fresh Strawberry Honey 50 g</t>
  </si>
  <si>
    <t>Mango Puree 50 g</t>
  </si>
  <si>
    <t>Taro Puree 50 g</t>
  </si>
  <si>
    <t>Red Bean Puree 50 g</t>
  </si>
  <si>
    <t>Crispy Coco</t>
  </si>
  <si>
    <t>Honey Comb 15g</t>
  </si>
  <si>
    <t>Yuzu 50 g</t>
  </si>
  <si>
    <t>Osmanthus</t>
  </si>
  <si>
    <t>Chrysanthemum</t>
  </si>
  <si>
    <t>LadyFingers</t>
  </si>
  <si>
    <t>โมจิเสียบไม้ 1 ไม้</t>
  </si>
  <si>
    <t>เนื้อส้มยูสุแห้ง</t>
  </si>
  <si>
    <t>ดอกหอมหมื่นลี้แห้ง</t>
  </si>
  <si>
    <t>ดอกเก๊กฮวยแห้ง</t>
  </si>
  <si>
    <t>สตอเบอรี่แห้ง</t>
  </si>
  <si>
    <t>ผง Milk Moji 200 g</t>
  </si>
  <si>
    <t>ผง Moji Pandan 230 g</t>
  </si>
  <si>
    <t>ผง Cream Cheese 200 g</t>
  </si>
  <si>
    <t>ผง Cream Cheese Matcha 230 g</t>
  </si>
  <si>
    <t>วิปปิ้งครีม ริชส์ ซันวิป 1 L</t>
  </si>
  <si>
    <t>Package</t>
  </si>
  <si>
    <t>แก้ว Hibi 8 Oz.</t>
  </si>
  <si>
    <t>แก้ว Hibi 12 Oz.</t>
  </si>
  <si>
    <t>แก้ว Hibi 16 Oz.</t>
  </si>
  <si>
    <t>แก้ว hibi 22 Oz.</t>
  </si>
  <si>
    <t>ฝา เขียว</t>
  </si>
  <si>
    <t>ฝา ขาว</t>
  </si>
  <si>
    <t>ฝา ใส</t>
  </si>
  <si>
    <t>ฝา ครีม</t>
  </si>
  <si>
    <t>ถุง เดี่ยว</t>
  </si>
  <si>
    <t>ถุง คู่</t>
  </si>
  <si>
    <t>ช้อนขนม</t>
  </si>
  <si>
    <t>Re Package</t>
  </si>
  <si>
    <t>ถ้วยใส่ท็อปปิ้ง 2 oz</t>
  </si>
  <si>
    <t>ถ้วยใส่ท็อปปิ้ง 4 oz</t>
  </si>
  <si>
    <t>ถุงฝาเกลียว 50 ml</t>
  </si>
  <si>
    <t>ถุงฝาเกลียว 70 ml</t>
  </si>
  <si>
    <t>ถุงฝาเกลียว 150 ml</t>
  </si>
  <si>
    <t>ถุงฝาเกลียว 200 ml</t>
  </si>
  <si>
    <t>ถุงเย็น 6*9</t>
  </si>
  <si>
    <t>ถุงมือ</t>
  </si>
  <si>
    <t>ข้าง</t>
  </si>
  <si>
    <t>น้ำยาล้างจาน</t>
  </si>
  <si>
    <t>น้ำยาถูพื้น</t>
  </si>
  <si>
    <t>น้ำยาเช็ดกระจก</t>
  </si>
  <si>
    <t>ถุงขยะ 30*40</t>
  </si>
  <si>
    <t>Marketing</t>
  </si>
  <si>
    <t>ม้วน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</si>
</sst>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4">
    <font>
      <sz val="10.0"/>
      <color rgb="FF000000"/>
      <name val="Arial"/>
      <scheme val="minor"/>
    </font>
    <font>
      <b/>
      <sz val="18.0"/>
      <color rgb="FF000000"/>
      <name val="Tahoma"/>
    </font>
    <font/>
    <font>
      <b/>
      <sz val="11.0"/>
      <color rgb="FF000000"/>
      <name val="Tahoma"/>
    </font>
    <font>
      <b/>
      <sz val="11.0"/>
      <color rgb="FF0070C0"/>
      <name val="Tahoma"/>
    </font>
    <font>
      <sz val="11.0"/>
      <color rgb="FF000000"/>
      <name val="Calibri"/>
    </font>
    <font>
      <sz val="12.0"/>
      <color rgb="FF000000"/>
      <name val="Tahoma"/>
    </font>
    <font>
      <color theme="1"/>
      <name val="Arial"/>
      <scheme val="minor"/>
    </font>
    <font>
      <sz val="12.0"/>
      <color rgb="FFFF0000"/>
      <name val="Tahoma"/>
    </font>
    <font>
      <sz val="12.0"/>
      <color rgb="FF305496"/>
      <name val="Tahoma"/>
    </font>
    <font>
      <sz val="12.0"/>
      <color rgb="FFC00000"/>
      <name val="Tahoma"/>
    </font>
    <font>
      <u/>
      <sz val="11.0"/>
      <color rgb="FF0000FF"/>
      <name val="Calibri"/>
    </font>
    <font>
      <sz val="12.0"/>
      <color rgb="FF4472C4"/>
      <name val="Tahoma"/>
    </font>
    <font>
      <sz val="11.0"/>
      <color theme="1"/>
      <name val="Calibri"/>
    </font>
    <font>
      <color theme="1"/>
      <name val="Arial"/>
    </font>
    <font>
      <color rgb="FF980000"/>
      <name val="Arial"/>
    </font>
    <font>
      <sz val="12.0"/>
      <color rgb="FF980000"/>
      <name val="Arial"/>
    </font>
    <font>
      <color rgb="FF000000"/>
      <name val="Tahoma"/>
    </font>
    <font>
      <color rgb="FF000000"/>
      <name val="Arial"/>
    </font>
    <font>
      <b/>
      <sz val="11.0"/>
      <color theme="1"/>
      <name val="Tahoma"/>
    </font>
    <font>
      <b/>
      <color theme="1"/>
      <name val="Arial"/>
      <scheme val="minor"/>
    </font>
    <font>
      <sz val="11.0"/>
      <color theme="1"/>
      <name val="Tahoma"/>
    </font>
    <font>
      <sz val="11.0"/>
      <color rgb="FF000000"/>
      <name val="Tahoma"/>
    </font>
    <font>
      <sz val="11.0"/>
      <color rgb="FF1F1F1F"/>
      <name val="Tahoma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0F7FA"/>
        <bgColor rgb="FFE0F7FA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E699"/>
        <bgColor rgb="FFFFE699"/>
      </patternFill>
    </fill>
    <fill>
      <patternFill patternType="solid">
        <fgColor theme="0"/>
        <bgColor theme="0"/>
      </patternFill>
    </fill>
    <fill>
      <patternFill patternType="solid">
        <fgColor rgb="FF4DD0E1"/>
        <bgColor rgb="FF4DD0E1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Border="1" applyFont="1"/>
    <xf borderId="2" fillId="0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0" fillId="0" fontId="5" numFmtId="0" xfId="0" applyAlignment="1" applyFont="1">
      <alignment shrinkToFit="0" vertical="bottom" wrapText="0"/>
    </xf>
    <xf borderId="2" fillId="2" fontId="6" numFmtId="0" xfId="0" applyAlignment="1" applyBorder="1" applyFill="1" applyFont="1">
      <alignment horizontal="right" readingOrder="0" shrinkToFit="0" vertical="bottom" wrapText="0"/>
    </xf>
    <xf borderId="2" fillId="2" fontId="6" numFmtId="0" xfId="0" applyAlignment="1" applyBorder="1" applyFont="1">
      <alignment horizontal="left" readingOrder="0" shrinkToFit="0" vertical="bottom" wrapText="0"/>
    </xf>
    <xf borderId="2" fillId="2" fontId="6" numFmtId="0" xfId="0" applyAlignment="1" applyBorder="1" applyFont="1">
      <alignment readingOrder="0" shrinkToFit="0" vertical="bottom" wrapText="0"/>
    </xf>
    <xf borderId="2" fillId="3" fontId="7" numFmtId="0" xfId="0" applyAlignment="1" applyBorder="1" applyFill="1" applyFont="1">
      <alignment readingOrder="0"/>
    </xf>
    <xf borderId="2" fillId="2" fontId="6" numFmtId="0" xfId="0" applyAlignment="1" applyBorder="1" applyFont="1">
      <alignment horizontal="center" readingOrder="0" shrinkToFit="0" vertical="bottom" wrapText="0"/>
    </xf>
    <xf borderId="2" fillId="2" fontId="8" numFmtId="0" xfId="0" applyAlignment="1" applyBorder="1" applyFont="1">
      <alignment horizontal="left" readingOrder="0" shrinkToFit="0" vertical="bottom" wrapText="0"/>
    </xf>
    <xf borderId="2" fillId="2" fontId="9" numFmtId="0" xfId="0" applyAlignment="1" applyBorder="1" applyFont="1">
      <alignment shrinkToFit="0" vertical="bottom" wrapText="0"/>
    </xf>
    <xf borderId="2" fillId="2" fontId="10" numFmtId="0" xfId="0" applyAlignment="1" applyBorder="1" applyFont="1">
      <alignment horizontal="left" readingOrder="0" shrinkToFit="0" vertical="bottom" wrapText="0"/>
    </xf>
    <xf borderId="2" fillId="2" fontId="10" numFmtId="0" xfId="0" applyAlignment="1" applyBorder="1" applyFont="1">
      <alignment shrinkToFit="0" vertical="bottom" wrapText="0"/>
    </xf>
    <xf borderId="0" fillId="2" fontId="5" numFmtId="0" xfId="0" applyAlignment="1" applyFont="1">
      <alignment shrinkToFit="0" vertical="bottom" wrapText="0"/>
    </xf>
    <xf borderId="2" fillId="2" fontId="6" numFmtId="3" xfId="0" applyAlignment="1" applyBorder="1" applyFont="1" applyNumberFormat="1">
      <alignment horizontal="right" readingOrder="0" shrinkToFit="0" vertical="bottom" wrapText="0"/>
    </xf>
    <xf borderId="2" fillId="0" fontId="6" numFmtId="0" xfId="0" applyAlignment="1" applyBorder="1" applyFont="1">
      <alignment horizontal="left"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2" fillId="0" fontId="9" numFmtId="0" xfId="0" applyAlignment="1" applyBorder="1" applyFont="1">
      <alignment horizontal="left" readingOrder="0" shrinkToFit="0" vertical="bottom" wrapText="0"/>
    </xf>
    <xf borderId="2" fillId="0" fontId="11" numFmtId="0" xfId="0" applyAlignment="1" applyBorder="1" applyFont="1">
      <alignment horizontal="left" readingOrder="0" shrinkToFit="0" vertical="bottom" wrapText="0"/>
    </xf>
    <xf borderId="2" fillId="0" fontId="12" numFmtId="0" xfId="0" applyAlignment="1" applyBorder="1" applyFont="1">
      <alignment horizontal="left" readingOrder="0" shrinkToFit="0" vertical="bottom" wrapText="0"/>
    </xf>
    <xf borderId="2" fillId="0" fontId="13" numFmtId="0" xfId="0" applyAlignment="1" applyBorder="1" applyFont="1">
      <alignment horizontal="left" readingOrder="0" shrinkToFit="0" vertical="bottom" wrapText="0"/>
    </xf>
    <xf borderId="2" fillId="0" fontId="10" numFmtId="0" xfId="0" applyAlignment="1" applyBorder="1" applyFont="1">
      <alignment shrinkToFit="0" vertical="bottom" wrapText="0"/>
    </xf>
    <xf borderId="2" fillId="4" fontId="14" numFmtId="0" xfId="0" applyAlignment="1" applyBorder="1" applyFill="1" applyFont="1">
      <alignment vertical="bottom"/>
    </xf>
    <xf borderId="2" fillId="4" fontId="14" numFmtId="0" xfId="0" applyAlignment="1" applyBorder="1" applyFont="1">
      <alignment vertical="bottom"/>
    </xf>
    <xf borderId="2" fillId="2" fontId="9" numFmtId="0" xfId="0" applyAlignment="1" applyBorder="1" applyFont="1">
      <alignment horizontal="left" readingOrder="0" shrinkToFit="0" vertical="bottom" wrapText="0"/>
    </xf>
    <xf borderId="2" fillId="2" fontId="12" numFmtId="0" xfId="0" applyAlignment="1" applyBorder="1" applyFont="1">
      <alignment horizontal="left" readingOrder="0" shrinkToFit="0" vertical="bottom" wrapText="0"/>
    </xf>
    <xf borderId="2" fillId="2" fontId="12" numFmtId="0" xfId="0" applyAlignment="1" applyBorder="1" applyFont="1">
      <alignment shrinkToFit="0" vertical="bottom" wrapText="0"/>
    </xf>
    <xf borderId="2" fillId="0" fontId="9" numFmtId="0" xfId="0" applyAlignment="1" applyBorder="1" applyFont="1">
      <alignment shrinkToFit="0" vertical="bottom" wrapText="0"/>
    </xf>
    <xf borderId="2" fillId="5" fontId="6" numFmtId="0" xfId="0" applyAlignment="1" applyBorder="1" applyFill="1" applyFont="1">
      <alignment horizontal="left" readingOrder="0" shrinkToFit="0" vertical="bottom" wrapText="0"/>
    </xf>
    <xf borderId="2" fillId="5" fontId="6" numFmtId="0" xfId="0" applyAlignment="1" applyBorder="1" applyFont="1">
      <alignment readingOrder="0" shrinkToFit="0" vertical="bottom" wrapText="0"/>
    </xf>
    <xf borderId="2" fillId="5" fontId="6" numFmtId="0" xfId="0" applyAlignment="1" applyBorder="1" applyFont="1">
      <alignment horizontal="right" readingOrder="0" shrinkToFit="0" vertical="bottom" wrapText="0"/>
    </xf>
    <xf borderId="2" fillId="5" fontId="6" numFmtId="0" xfId="0" applyAlignment="1" applyBorder="1" applyFont="1">
      <alignment horizontal="center" readingOrder="0" shrinkToFit="0" vertical="bottom" wrapText="0"/>
    </xf>
    <xf borderId="2" fillId="5" fontId="9" numFmtId="0" xfId="0" applyAlignment="1" applyBorder="1" applyFont="1">
      <alignment horizontal="left" readingOrder="0" shrinkToFit="0" vertical="bottom" wrapText="0"/>
    </xf>
    <xf borderId="2" fillId="5" fontId="9" numFmtId="0" xfId="0" applyAlignment="1" applyBorder="1" applyFont="1">
      <alignment shrinkToFit="0" vertical="bottom" wrapText="0"/>
    </xf>
    <xf borderId="2" fillId="5" fontId="10" numFmtId="0" xfId="0" applyAlignment="1" applyBorder="1" applyFont="1">
      <alignment shrinkToFit="0" vertical="bottom" wrapText="0"/>
    </xf>
    <xf borderId="2" fillId="0" fontId="14" numFmtId="0" xfId="0" applyAlignment="1" applyBorder="1" applyFont="1">
      <alignment vertical="bottom"/>
    </xf>
    <xf borderId="2" fillId="0" fontId="14" numFmtId="0" xfId="0" applyAlignment="1" applyBorder="1" applyFont="1">
      <alignment vertical="bottom"/>
    </xf>
    <xf borderId="2" fillId="0" fontId="14" numFmtId="0" xfId="0" applyAlignment="1" applyBorder="1" applyFont="1">
      <alignment readingOrder="0" vertical="bottom"/>
    </xf>
    <xf borderId="2" fillId="5" fontId="10" numFmtId="0" xfId="0" applyAlignment="1" applyBorder="1" applyFont="1">
      <alignment horizontal="left" readingOrder="0" shrinkToFit="0" vertical="bottom" wrapText="0"/>
    </xf>
    <xf borderId="2" fillId="2" fontId="6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vertical="bottom"/>
    </xf>
    <xf borderId="2" fillId="4" fontId="14" numFmtId="0" xfId="0" applyAlignment="1" applyBorder="1" applyFont="1">
      <alignment vertical="bottom"/>
    </xf>
    <xf borderId="2" fillId="6" fontId="15" numFmtId="0" xfId="0" applyAlignment="1" applyBorder="1" applyFill="1" applyFont="1">
      <alignment vertical="bottom"/>
    </xf>
    <xf borderId="2" fillId="6" fontId="14" numFmtId="0" xfId="0" applyAlignment="1" applyBorder="1" applyFont="1">
      <alignment vertical="bottom"/>
    </xf>
    <xf borderId="2" fillId="4" fontId="15" numFmtId="0" xfId="0" applyAlignment="1" applyBorder="1" applyFont="1">
      <alignment readingOrder="0" vertical="bottom"/>
    </xf>
    <xf borderId="2" fillId="4" fontId="14" numFmtId="0" xfId="0" applyAlignment="1" applyBorder="1" applyFont="1">
      <alignment readingOrder="0" vertical="bottom"/>
    </xf>
    <xf borderId="2" fillId="7" fontId="6" numFmtId="0" xfId="0" applyAlignment="1" applyBorder="1" applyFill="1" applyFont="1">
      <alignment horizontal="left" readingOrder="0" shrinkToFit="0" vertical="bottom" wrapText="0"/>
    </xf>
    <xf borderId="2" fillId="6" fontId="14" numFmtId="0" xfId="0" applyAlignment="1" applyBorder="1" applyFont="1">
      <alignment readingOrder="0" vertical="bottom"/>
    </xf>
    <xf borderId="2" fillId="6" fontId="14" numFmtId="0" xfId="0" applyAlignment="1" applyBorder="1" applyFont="1">
      <alignment vertical="bottom"/>
    </xf>
    <xf borderId="2" fillId="7" fontId="6" numFmtId="0" xfId="0" applyAlignment="1" applyBorder="1" applyFont="1">
      <alignment horizontal="right" readingOrder="0" shrinkToFit="0" vertical="bottom" wrapText="0"/>
    </xf>
    <xf borderId="2" fillId="7" fontId="6" numFmtId="0" xfId="0" applyAlignment="1" applyBorder="1" applyFont="1">
      <alignment horizontal="center" readingOrder="0" shrinkToFit="0" vertical="bottom" wrapText="0"/>
    </xf>
    <xf borderId="2" fillId="7" fontId="9" numFmtId="0" xfId="0" applyAlignment="1" applyBorder="1" applyFont="1">
      <alignment horizontal="left" readingOrder="0" shrinkToFit="0" vertical="bottom" wrapText="0"/>
    </xf>
    <xf borderId="2" fillId="7" fontId="9" numFmtId="0" xfId="0" applyAlignment="1" applyBorder="1" applyFont="1">
      <alignment shrinkToFit="0" vertical="bottom" wrapText="0"/>
    </xf>
    <xf borderId="2" fillId="7" fontId="10" numFmtId="0" xfId="0" applyAlignment="1" applyBorder="1" applyFont="1">
      <alignment shrinkToFit="0" vertical="bottom" wrapText="0"/>
    </xf>
    <xf borderId="2" fillId="6" fontId="14" numFmtId="0" xfId="0" applyAlignment="1" applyBorder="1" applyFont="1">
      <alignment vertical="bottom"/>
    </xf>
    <xf borderId="2" fillId="4" fontId="16" numFmtId="0" xfId="0" applyAlignment="1" applyBorder="1" applyFont="1">
      <alignment readingOrder="0" shrinkToFit="0" vertical="bottom" wrapText="0"/>
    </xf>
    <xf borderId="2" fillId="7" fontId="6" numFmtId="0" xfId="0" applyAlignment="1" applyBorder="1" applyFont="1">
      <alignment readingOrder="0" shrinkToFit="0" vertical="bottom" wrapText="0"/>
    </xf>
    <xf borderId="2" fillId="4" fontId="14" numFmtId="0" xfId="0" applyAlignment="1" applyBorder="1" applyFont="1">
      <alignment readingOrder="0" vertical="bottom"/>
    </xf>
    <xf borderId="2" fillId="7" fontId="6" numFmtId="0" xfId="0" applyAlignment="1" applyBorder="1" applyFont="1">
      <alignment shrinkToFit="0" vertical="bottom" wrapText="0"/>
    </xf>
    <xf borderId="2" fillId="6" fontId="14" numFmtId="0" xfId="0" applyAlignment="1" applyBorder="1" applyFont="1">
      <alignment vertical="bottom"/>
    </xf>
    <xf borderId="2" fillId="4" fontId="14" numFmtId="0" xfId="0" applyAlignment="1" applyBorder="1" applyFont="1">
      <alignment vertical="bottom"/>
    </xf>
    <xf borderId="2" fillId="6" fontId="16" numFmtId="0" xfId="0" applyAlignment="1" applyBorder="1" applyFont="1">
      <alignment readingOrder="0" shrinkToFit="0" vertical="bottom" wrapText="0"/>
    </xf>
    <xf borderId="2" fillId="2" fontId="17" numFmtId="0" xfId="0" applyAlignment="1" applyBorder="1" applyFont="1">
      <alignment shrinkToFit="0" vertical="bottom" wrapText="0"/>
    </xf>
    <xf borderId="2" fillId="2" fontId="17" numFmtId="0" xfId="0" applyAlignment="1" applyBorder="1" applyFont="1">
      <alignment horizontal="left" readingOrder="0" shrinkToFit="0" vertical="bottom" wrapText="0"/>
    </xf>
    <xf borderId="2" fillId="8" fontId="6" numFmtId="0" xfId="0" applyAlignment="1" applyBorder="1" applyFill="1" applyFont="1">
      <alignment horizontal="left" readingOrder="0" shrinkToFit="0" vertical="bottom" wrapText="0"/>
    </xf>
    <xf borderId="2" fillId="8" fontId="6" numFmtId="0" xfId="0" applyAlignment="1" applyBorder="1" applyFont="1">
      <alignment shrinkToFit="0" vertical="bottom" wrapText="0"/>
    </xf>
    <xf borderId="2" fillId="8" fontId="6" numFmtId="0" xfId="0" applyAlignment="1" applyBorder="1" applyFont="1">
      <alignment horizontal="right" readingOrder="0" shrinkToFit="0" vertical="bottom" wrapText="0"/>
    </xf>
    <xf borderId="2" fillId="8" fontId="6" numFmtId="0" xfId="0" applyAlignment="1" applyBorder="1" applyFont="1">
      <alignment horizontal="center" readingOrder="0" shrinkToFit="0" vertical="bottom" wrapText="0"/>
    </xf>
    <xf borderId="2" fillId="8" fontId="9" numFmtId="0" xfId="0" applyAlignment="1" applyBorder="1" applyFont="1">
      <alignment horizontal="left" readingOrder="0" shrinkToFit="0" vertical="bottom" wrapText="0"/>
    </xf>
    <xf borderId="2" fillId="8" fontId="17" numFmtId="0" xfId="0" applyAlignment="1" applyBorder="1" applyFont="1">
      <alignment shrinkToFit="0" vertical="bottom" wrapText="0"/>
    </xf>
    <xf borderId="2" fillId="8" fontId="8" numFmtId="0" xfId="0" applyAlignment="1" applyBorder="1" applyFont="1">
      <alignment horizontal="left" readingOrder="0" shrinkToFit="0" vertical="bottom" wrapText="0"/>
    </xf>
    <xf borderId="2" fillId="8" fontId="6" numFmtId="0" xfId="0" applyAlignment="1" applyBorder="1" applyFont="1">
      <alignment readingOrder="0" shrinkToFit="0" vertical="bottom" wrapText="0"/>
    </xf>
    <xf borderId="0" fillId="8" fontId="6" numFmtId="0" xfId="0" applyAlignment="1" applyFont="1">
      <alignment horizontal="left" readingOrder="0" shrinkToFit="0" vertical="bottom" wrapText="0"/>
    </xf>
    <xf borderId="2" fillId="0" fontId="7" numFmtId="0" xfId="0" applyBorder="1" applyFont="1"/>
    <xf borderId="2" fillId="3" fontId="14" numFmtId="0" xfId="0" applyAlignment="1" applyBorder="1" applyFont="1">
      <alignment readingOrder="0" vertical="bottom"/>
    </xf>
    <xf borderId="2" fillId="3" fontId="14" numFmtId="0" xfId="0" applyAlignment="1" applyBorder="1" applyFont="1">
      <alignment vertical="bottom"/>
    </xf>
    <xf borderId="2" fillId="0" fontId="7" numFmtId="0" xfId="0" applyAlignment="1" applyBorder="1" applyFont="1">
      <alignment readingOrder="0"/>
    </xf>
    <xf borderId="2" fillId="3" fontId="14" numFmtId="0" xfId="0" applyAlignment="1" applyBorder="1" applyFont="1">
      <alignment vertical="bottom"/>
    </xf>
    <xf borderId="2" fillId="3" fontId="18" numFmtId="0" xfId="0" applyAlignment="1" applyBorder="1" applyFont="1">
      <alignment readingOrder="0" vertical="bottom"/>
    </xf>
    <xf borderId="2" fillId="3" fontId="14" numFmtId="0" xfId="0" applyAlignment="1" applyBorder="1" applyFont="1">
      <alignment readingOrder="0" vertical="bottom"/>
    </xf>
    <xf borderId="2" fillId="0" fontId="14" numFmtId="0" xfId="0" applyAlignment="1" applyBorder="1" applyFont="1">
      <alignment readingOrder="0" vertical="bottom"/>
    </xf>
    <xf borderId="2" fillId="6" fontId="14" numFmtId="0" xfId="0" applyAlignment="1" applyBorder="1" applyFont="1">
      <alignment readingOrder="0" vertical="bottom"/>
    </xf>
    <xf borderId="2" fillId="2" fontId="14" numFmtId="0" xfId="0" applyAlignment="1" applyBorder="1" applyFont="1">
      <alignment vertical="bottom"/>
    </xf>
    <xf borderId="2" fillId="4" fontId="7" numFmtId="0" xfId="0" applyAlignment="1" applyBorder="1" applyFont="1">
      <alignment readingOrder="0"/>
    </xf>
    <xf borderId="2" fillId="9" fontId="7" numFmtId="0" xfId="0" applyAlignment="1" applyBorder="1" applyFill="1" applyFont="1">
      <alignment readingOrder="0"/>
    </xf>
    <xf borderId="2" fillId="10" fontId="14" numFmtId="0" xfId="0" applyAlignment="1" applyBorder="1" applyFill="1" applyFont="1">
      <alignment horizontal="center" vertical="bottom"/>
    </xf>
    <xf borderId="2" fillId="10" fontId="14" numFmtId="0" xfId="0" applyAlignment="1" applyBorder="1" applyFont="1">
      <alignment vertical="bottom"/>
    </xf>
    <xf borderId="2" fillId="10" fontId="14" numFmtId="9" xfId="0" applyAlignment="1" applyBorder="1" applyFont="1" applyNumberFormat="1">
      <alignment vertical="bottom"/>
    </xf>
    <xf borderId="2" fillId="10" fontId="14" numFmtId="9" xfId="0" applyAlignment="1" applyBorder="1" applyFont="1" applyNumberFormat="1">
      <alignment horizontal="center" vertical="bottom"/>
    </xf>
    <xf borderId="2" fillId="0" fontId="14" numFmtId="0" xfId="0" applyAlignment="1" applyBorder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2" fillId="0" fontId="14" numFmtId="0" xfId="0" applyAlignment="1" applyBorder="1" applyFont="1">
      <alignment vertical="bottom"/>
    </xf>
    <xf borderId="2" fillId="6" fontId="14" numFmtId="0" xfId="0" applyAlignment="1" applyBorder="1" applyFont="1">
      <alignment horizontal="right" vertical="bottom"/>
    </xf>
    <xf borderId="2" fillId="0" fontId="14" numFmtId="0" xfId="0" applyAlignment="1" applyBorder="1" applyFont="1">
      <alignment horizontal="right" vertical="bottom"/>
    </xf>
    <xf borderId="2" fillId="4" fontId="14" numFmtId="0" xfId="0" applyAlignment="1" applyBorder="1" applyFont="1">
      <alignment horizontal="right" vertical="bottom"/>
    </xf>
    <xf borderId="2" fillId="11" fontId="14" numFmtId="0" xfId="0" applyAlignment="1" applyBorder="1" applyFill="1" applyFont="1">
      <alignment vertical="bottom"/>
    </xf>
    <xf borderId="2" fillId="0" fontId="14" numFmtId="164" xfId="0" applyAlignment="1" applyBorder="1" applyFont="1" applyNumberFormat="1">
      <alignment horizontal="right" vertical="bottom"/>
    </xf>
    <xf borderId="2" fillId="6" fontId="14" numFmtId="3" xfId="0" applyAlignment="1" applyBorder="1" applyFont="1" applyNumberFormat="1">
      <alignment horizontal="right" vertical="bottom"/>
    </xf>
    <xf borderId="2" fillId="4" fontId="14" numFmtId="4" xfId="0" applyAlignment="1" applyBorder="1" applyFont="1" applyNumberFormat="1">
      <alignment horizontal="right" vertical="bottom"/>
    </xf>
    <xf borderId="2" fillId="6" fontId="14" numFmtId="4" xfId="0" applyAlignment="1" applyBorder="1" applyFont="1" applyNumberFormat="1">
      <alignment horizontal="right" vertical="bottom"/>
    </xf>
    <xf borderId="2" fillId="4" fontId="14" numFmtId="0" xfId="0" applyAlignment="1" applyBorder="1" applyFont="1">
      <alignment horizontal="right" vertical="bottom"/>
    </xf>
    <xf borderId="2" fillId="12" fontId="14" numFmtId="0" xfId="0" applyAlignment="1" applyBorder="1" applyFill="1" applyFont="1">
      <alignment vertical="bottom"/>
    </xf>
    <xf borderId="0" fillId="4" fontId="14" numFmtId="0" xfId="0" applyAlignment="1" applyFont="1">
      <alignment vertical="bottom"/>
    </xf>
    <xf borderId="2" fillId="6" fontId="14" numFmtId="0" xfId="0" applyAlignment="1" applyBorder="1" applyFont="1">
      <alignment horizontal="right" vertical="bottom"/>
    </xf>
    <xf borderId="0" fillId="6" fontId="14" numFmtId="0" xfId="0" applyAlignment="1" applyFont="1">
      <alignment vertical="bottom"/>
    </xf>
    <xf borderId="2" fillId="4" fontId="14" numFmtId="4" xfId="0" applyAlignment="1" applyBorder="1" applyFont="1" applyNumberFormat="1">
      <alignment horizontal="right" vertical="bottom"/>
    </xf>
    <xf borderId="2" fillId="4" fontId="14" numFmtId="3" xfId="0" applyAlignment="1" applyBorder="1" applyFont="1" applyNumberFormat="1">
      <alignment horizontal="right" vertical="bottom"/>
    </xf>
    <xf borderId="2" fillId="4" fontId="14" numFmtId="164" xfId="0" applyAlignment="1" applyBorder="1" applyFont="1" applyNumberFormat="1">
      <alignment horizontal="right" vertical="bottom"/>
    </xf>
    <xf borderId="2" fillId="4" fontId="14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shrinkToFit="0" wrapText="0"/>
    </xf>
    <xf borderId="3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2" fillId="0" fontId="19" numFmtId="0" xfId="0" applyAlignment="1" applyBorder="1" applyFont="1">
      <alignment horizontal="center" readingOrder="0"/>
    </xf>
    <xf borderId="2" fillId="0" fontId="20" numFmtId="0" xfId="0" applyAlignment="1" applyBorder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9" fontId="6" numFmtId="0" xfId="0" applyAlignment="1" applyFont="1">
      <alignment readingOrder="0" shrinkToFit="0" vertical="bottom" wrapText="0"/>
    </xf>
    <xf borderId="0" fillId="9" fontId="22" numFmtId="0" xfId="0" applyAlignment="1" applyFont="1">
      <alignment horizontal="left" readingOrder="0" shrinkToFit="0" vertical="bottom" wrapText="0"/>
    </xf>
    <xf borderId="0" fillId="6" fontId="22" numFmtId="0" xfId="0" applyAlignment="1" applyFont="1">
      <alignment horizontal="left" readingOrder="0" vertical="bottom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22" numFmtId="0" xfId="0" applyAlignment="1" applyFont="1">
      <alignment horizontal="left" readingOrder="0" shrinkToFit="0" vertical="bottom" wrapText="0"/>
    </xf>
    <xf borderId="0" fillId="9" fontId="21" numFmtId="0" xfId="0" applyAlignment="1" applyFont="1">
      <alignment vertical="bottom"/>
    </xf>
    <xf borderId="0" fillId="9" fontId="22" numFmtId="0" xfId="0" applyAlignment="1" applyFont="1">
      <alignment horizontal="left" readingOrder="0" shrinkToFit="0" vertical="bottom" wrapText="0"/>
    </xf>
    <xf borderId="0" fillId="9" fontId="6" numFmtId="0" xfId="0" applyAlignment="1" applyFont="1">
      <alignment horizontal="left" readingOrder="0" shrinkToFit="0" vertical="bottom" wrapText="0"/>
    </xf>
    <xf borderId="0" fillId="9" fontId="21" numFmtId="0" xfId="0" applyAlignment="1" applyFont="1">
      <alignment readingOrder="0" vertical="bottom"/>
    </xf>
    <xf borderId="0" fillId="9" fontId="21" numFmtId="0" xfId="0" applyAlignment="1" applyFont="1">
      <alignment readingOrder="0"/>
    </xf>
    <xf borderId="0" fillId="0" fontId="23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21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</dxfs>
  <tableStyles count="11">
    <tableStyle count="2" pivot="0" name="ชีต1-style">
      <tableStyleElement dxfId="1" type="firstRowStripe"/>
      <tableStyleElement dxfId="2" type="secondRowStripe"/>
    </tableStyle>
    <tableStyle count="2" pivot="0" name="ชีต1-style 2">
      <tableStyleElement dxfId="1" type="firstRowStripe"/>
      <tableStyleElement dxfId="2" type="secondRowStripe"/>
    </tableStyle>
    <tableStyle count="2" pivot="0" name="ชีต1-style 3">
      <tableStyleElement dxfId="1" type="firstRowStripe"/>
      <tableStyleElement dxfId="2" type="secondRowStripe"/>
    </tableStyle>
    <tableStyle count="2" pivot="0" name="ชีต1-style 4">
      <tableStyleElement dxfId="1" type="firstRowStripe"/>
      <tableStyleElement dxfId="2" type="secondRowStripe"/>
    </tableStyle>
    <tableStyle count="2" pivot="0" name="ชีต1-style 5">
      <tableStyleElement dxfId="1" type="firstRowStripe"/>
      <tableStyleElement dxfId="2" type="secondRowStripe"/>
    </tableStyle>
    <tableStyle count="2" pivot="0" name="ชีต1-style 6">
      <tableStyleElement dxfId="1" type="firstRowStripe"/>
      <tableStyleElement dxfId="2" type="secondRowStripe"/>
    </tableStyle>
    <tableStyle count="2" pivot="0" name="ชีต1-style 7">
      <tableStyleElement dxfId="2" type="firstRowStripe"/>
      <tableStyleElement dxfId="1" type="secondRowStripe"/>
    </tableStyle>
    <tableStyle count="2" pivot="0" name="ชีต1-style 8">
      <tableStyleElement dxfId="2" type="firstRowStripe"/>
      <tableStyleElement dxfId="1" type="secondRowStripe"/>
    </tableStyle>
    <tableStyle count="3" pivot="0" name="ชีต5-style">
      <tableStyleElement dxfId="3" type="headerRow"/>
      <tableStyleElement dxfId="1" type="firstRowStripe"/>
      <tableStyleElement dxfId="2" type="secondRowStripe"/>
    </tableStyle>
    <tableStyle count="2" pivot="0" name="สินค้าหลัก-style">
      <tableStyleElement dxfId="1" type="firstRowStripe"/>
      <tableStyleElement dxfId="4" type="secondRowStripe"/>
    </tableStyle>
    <tableStyle count="2" pivot="0" name="สินค้าหมุนเวียน-style"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69:C72" displayName="Table_1" name="Table_1" id="1">
  <tableColumns count="1">
    <tableColumn name="Column1" id="1"/>
  </tableColumns>
  <tableStyleInfo name="ชีต1-style" showColumnStripes="0" showFirstColumn="1" showLastColumn="1" showRowStripes="1"/>
</table>
</file>

<file path=xl/tables/table2.xml><?xml version="1.0" encoding="utf-8"?>
<table xmlns="http://schemas.openxmlformats.org/spreadsheetml/2006/main" headerRowCount="0" ref="D69:E70" displayName="Table_2" name="Table_2" id="2">
  <tableColumns count="2">
    <tableColumn name="Column1" id="1"/>
    <tableColumn name="Column2" id="2"/>
  </tableColumns>
  <tableStyleInfo name="ชีต1-style 2" showColumnStripes="0" showFirstColumn="1" showLastColumn="1" showRowStripes="1"/>
</table>
</file>

<file path=xl/tables/table3.xml><?xml version="1.0" encoding="utf-8"?>
<table xmlns="http://schemas.openxmlformats.org/spreadsheetml/2006/main" headerRowCount="0" ref="C106:C108" displayName="Table_3" name="Table_3" id="3">
  <tableColumns count="1">
    <tableColumn name="Column1" id="1"/>
  </tableColumns>
  <tableStyleInfo name="ชีต1-style 3" showColumnStripes="0" showFirstColumn="1" showLastColumn="1" showRowStripes="1"/>
</table>
</file>

<file path=xl/tables/table4.xml><?xml version="1.0" encoding="utf-8"?>
<table xmlns="http://schemas.openxmlformats.org/spreadsheetml/2006/main" headerRowCount="0" ref="D106:E108" displayName="Table_4" name="Table_4" id="4">
  <tableColumns count="2">
    <tableColumn name="Column1" id="1"/>
    <tableColumn name="Column2" id="2"/>
  </tableColumns>
  <tableStyleInfo name="ชีต1-style 4" showColumnStripes="0" showFirstColumn="1" showLastColumn="1" showRowStripes="1"/>
</table>
</file>

<file path=xl/tables/table5.xml><?xml version="1.0" encoding="utf-8"?>
<table xmlns="http://schemas.openxmlformats.org/spreadsheetml/2006/main" headerRowCount="0" ref="C112:C115" displayName="Table_5" name="Table_5" id="5">
  <tableColumns count="1">
    <tableColumn name="Column1" id="1"/>
  </tableColumns>
  <tableStyleInfo name="ชีต1-style 5" showColumnStripes="0" showFirstColumn="1" showLastColumn="1" showRowStripes="1"/>
</table>
</file>

<file path=xl/tables/table6.xml><?xml version="1.0" encoding="utf-8"?>
<table xmlns="http://schemas.openxmlformats.org/spreadsheetml/2006/main" headerRowCount="0" ref="D112:E114" displayName="Table_6" name="Table_6" id="6">
  <tableColumns count="2">
    <tableColumn name="Column1" id="1"/>
    <tableColumn name="Column2" id="2"/>
  </tableColumns>
  <tableStyleInfo name="ชีต1-style 6" showColumnStripes="0" showFirstColumn="1" showLastColumn="1" showRowStripes="1"/>
</table>
</file>

<file path=xl/tables/table7.xml><?xml version="1.0" encoding="utf-8"?>
<table xmlns="http://schemas.openxmlformats.org/spreadsheetml/2006/main" headerRowCount="0" ref="C179:C248" displayName="Table_7" name="Table_7" id="7">
  <tableColumns count="1">
    <tableColumn name="Column1" id="1"/>
  </tableColumns>
  <tableStyleInfo name="ชีต1-style 7" showColumnStripes="0" showFirstColumn="1" showLastColumn="1" showRowStripes="1"/>
</table>
</file>

<file path=xl/tables/table8.xml><?xml version="1.0" encoding="utf-8"?>
<table xmlns="http://schemas.openxmlformats.org/spreadsheetml/2006/main" headerRowCount="0" ref="D179:E248" displayName="Table_8" name="Table_8" id="8">
  <tableColumns count="2">
    <tableColumn name="Column1" id="1"/>
    <tableColumn name="Column2" id="2"/>
  </tableColumns>
  <tableStyleInfo name="ชีต1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:R23" displayName="Table_9" name="Table_9" id="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ชีต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:J1003" displayName="Table_10" name="Table_10" id="1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สินค้าหลัก-style" showColumnStripes="0" showFirstColumn="1" showLastColumn="1" showRowStripes="1"/>
</table>
</file>

<file path=xl/tables/table11.xml><?xml version="1.0" encoding="utf-8"?>
<table xmlns="http://schemas.openxmlformats.org/spreadsheetml/2006/main" headerRowCount="0" ref="A3:J1000" displayName="Table_11" name="Table_11" id="1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สินค้าหมุนเวียน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drawing" Target="../drawings/drawing1.xml"/><Relationship Id="rId22" Type="http://schemas.openxmlformats.org/officeDocument/2006/relationships/table" Target="../tables/table3.xml"/><Relationship Id="rId10" Type="http://schemas.openxmlformats.org/officeDocument/2006/relationships/hyperlink" Target="https://s.shopee.co.th/6fYWseX5kN?share_channel_code=6" TargetMode="External"/><Relationship Id="rId21" Type="http://schemas.openxmlformats.org/officeDocument/2006/relationships/table" Target="../tables/table2.xml"/><Relationship Id="rId24" Type="http://schemas.openxmlformats.org/officeDocument/2006/relationships/table" Target="../tables/table5.xml"/><Relationship Id="rId23" Type="http://schemas.openxmlformats.org/officeDocument/2006/relationships/table" Target="../tables/table4.xml"/><Relationship Id="rId1" Type="http://schemas.openxmlformats.org/officeDocument/2006/relationships/hyperlink" Target="https://th.shp.ee/AgSmJNX" TargetMode="External"/><Relationship Id="rId2" Type="http://schemas.openxmlformats.org/officeDocument/2006/relationships/hyperlink" Target="https://th.shp.ee/G8GZqZA" TargetMode="External"/><Relationship Id="rId3" Type="http://schemas.openxmlformats.org/officeDocument/2006/relationships/hyperlink" Target="https://th.shp.ee/Qs6ze7P" TargetMode="External"/><Relationship Id="rId4" Type="http://schemas.openxmlformats.org/officeDocument/2006/relationships/hyperlink" Target="https://th.shp.ee/1Gr7xWp" TargetMode="External"/><Relationship Id="rId9" Type="http://schemas.openxmlformats.org/officeDocument/2006/relationships/hyperlink" Target="https://th.shp.ee/G6htD1s" TargetMode="External"/><Relationship Id="rId26" Type="http://schemas.openxmlformats.org/officeDocument/2006/relationships/table" Target="../tables/table7.xml"/><Relationship Id="rId25" Type="http://schemas.openxmlformats.org/officeDocument/2006/relationships/table" Target="../tables/table6.xml"/><Relationship Id="rId27" Type="http://schemas.openxmlformats.org/officeDocument/2006/relationships/table" Target="../tables/table8.xml"/><Relationship Id="rId5" Type="http://schemas.openxmlformats.org/officeDocument/2006/relationships/hyperlink" Target="https://th.shp.ee/gygSitN" TargetMode="External"/><Relationship Id="rId6" Type="http://schemas.openxmlformats.org/officeDocument/2006/relationships/hyperlink" Target="https://th.shp.ee/XogQs8d" TargetMode="External"/><Relationship Id="rId7" Type="http://schemas.openxmlformats.org/officeDocument/2006/relationships/hyperlink" Target="https://th.shp.ee/JDJ3vwc" TargetMode="External"/><Relationship Id="rId8" Type="http://schemas.openxmlformats.org/officeDocument/2006/relationships/hyperlink" Target="https://th.shp.ee/JDJ3vwc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9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4" max="4" width="49.13"/>
    <col customWidth="1" min="5" max="5" width="32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3" t="s">
        <v>10</v>
      </c>
      <c r="K2" s="3" t="s">
        <v>11</v>
      </c>
      <c r="L2" s="5"/>
      <c r="M2" s="5"/>
    </row>
    <row r="3">
      <c r="A3" s="6">
        <v>1.0</v>
      </c>
      <c r="B3" s="7" t="s">
        <v>12</v>
      </c>
      <c r="C3" s="8" t="s">
        <v>13</v>
      </c>
      <c r="D3" s="7" t="s">
        <v>14</v>
      </c>
      <c r="E3" s="9" t="s">
        <v>15</v>
      </c>
      <c r="F3" s="6">
        <v>314.0</v>
      </c>
      <c r="G3" s="10" t="s">
        <v>16</v>
      </c>
      <c r="H3" s="11" t="s">
        <v>17</v>
      </c>
      <c r="I3" s="12"/>
      <c r="J3" s="13" t="s">
        <v>18</v>
      </c>
      <c r="K3" s="14"/>
      <c r="L3" s="15"/>
      <c r="M3" s="15"/>
    </row>
    <row r="4">
      <c r="A4" s="6">
        <v>2.0</v>
      </c>
      <c r="B4" s="7" t="s">
        <v>12</v>
      </c>
      <c r="C4" s="8" t="s">
        <v>19</v>
      </c>
      <c r="D4" s="7" t="s">
        <v>20</v>
      </c>
      <c r="E4" s="9" t="s">
        <v>21</v>
      </c>
      <c r="F4" s="6">
        <v>0.0</v>
      </c>
      <c r="G4" s="10" t="s">
        <v>16</v>
      </c>
      <c r="H4" s="11" t="s">
        <v>17</v>
      </c>
      <c r="I4" s="12"/>
      <c r="J4" s="13" t="s">
        <v>22</v>
      </c>
      <c r="K4" s="14"/>
      <c r="L4" s="15"/>
      <c r="M4" s="15"/>
    </row>
    <row r="5">
      <c r="A5" s="6">
        <v>3.0</v>
      </c>
      <c r="B5" s="7" t="s">
        <v>12</v>
      </c>
      <c r="C5" s="8" t="s">
        <v>23</v>
      </c>
      <c r="D5" s="7" t="s">
        <v>24</v>
      </c>
      <c r="E5" s="9" t="s">
        <v>25</v>
      </c>
      <c r="F5" s="6">
        <v>38.0</v>
      </c>
      <c r="G5" s="10" t="s">
        <v>16</v>
      </c>
      <c r="H5" s="11" t="s">
        <v>17</v>
      </c>
      <c r="I5" s="12"/>
      <c r="J5" s="13" t="s">
        <v>22</v>
      </c>
      <c r="K5" s="14"/>
      <c r="L5" s="15"/>
      <c r="M5" s="15"/>
    </row>
    <row r="6">
      <c r="A6" s="6">
        <v>4.0</v>
      </c>
      <c r="B6" s="7" t="s">
        <v>12</v>
      </c>
      <c r="C6" s="8" t="s">
        <v>26</v>
      </c>
      <c r="D6" s="7" t="s">
        <v>27</v>
      </c>
      <c r="E6" s="7" t="s">
        <v>28</v>
      </c>
      <c r="F6" s="6">
        <v>84.0</v>
      </c>
      <c r="G6" s="10" t="s">
        <v>16</v>
      </c>
      <c r="H6" s="11" t="s">
        <v>17</v>
      </c>
      <c r="I6" s="12"/>
      <c r="J6" s="13" t="s">
        <v>22</v>
      </c>
      <c r="K6" s="14"/>
      <c r="L6" s="15"/>
      <c r="M6" s="15"/>
    </row>
    <row r="7">
      <c r="A7" s="6">
        <v>5.0</v>
      </c>
      <c r="B7" s="7" t="s">
        <v>12</v>
      </c>
      <c r="C7" s="8" t="s">
        <v>29</v>
      </c>
      <c r="D7" s="7" t="s">
        <v>30</v>
      </c>
      <c r="E7" s="9" t="s">
        <v>31</v>
      </c>
      <c r="F7" s="16">
        <v>1553.0</v>
      </c>
      <c r="G7" s="10" t="s">
        <v>16</v>
      </c>
      <c r="H7" s="11" t="s">
        <v>17</v>
      </c>
      <c r="I7" s="12"/>
      <c r="J7" s="13" t="s">
        <v>32</v>
      </c>
      <c r="K7" s="14"/>
      <c r="L7" s="15"/>
      <c r="M7" s="15"/>
    </row>
    <row r="8">
      <c r="A8" s="6">
        <v>6.0</v>
      </c>
      <c r="B8" s="7" t="s">
        <v>12</v>
      </c>
      <c r="C8" s="8" t="s">
        <v>33</v>
      </c>
      <c r="D8" s="7" t="s">
        <v>34</v>
      </c>
      <c r="E8" s="9" t="s">
        <v>31</v>
      </c>
      <c r="F8" s="6">
        <v>961.0</v>
      </c>
      <c r="G8" s="10" t="s">
        <v>16</v>
      </c>
      <c r="H8" s="11" t="s">
        <v>17</v>
      </c>
      <c r="I8" s="12"/>
      <c r="J8" s="13" t="s">
        <v>32</v>
      </c>
      <c r="K8" s="14"/>
      <c r="L8" s="15"/>
      <c r="M8" s="15"/>
    </row>
    <row r="9">
      <c r="A9" s="6">
        <v>7.0</v>
      </c>
      <c r="B9" s="7" t="s">
        <v>12</v>
      </c>
      <c r="C9" s="8" t="s">
        <v>35</v>
      </c>
      <c r="D9" s="7" t="s">
        <v>36</v>
      </c>
      <c r="E9" s="9" t="s">
        <v>37</v>
      </c>
      <c r="F9" s="6">
        <v>960.0</v>
      </c>
      <c r="G9" s="10" t="s">
        <v>16</v>
      </c>
      <c r="H9" s="11" t="s">
        <v>17</v>
      </c>
      <c r="I9" s="12"/>
      <c r="J9" s="13" t="s">
        <v>32</v>
      </c>
      <c r="K9" s="14"/>
      <c r="L9" s="15"/>
      <c r="M9" s="15"/>
    </row>
    <row r="10">
      <c r="A10" s="6">
        <v>8.0</v>
      </c>
      <c r="B10" s="7" t="s">
        <v>12</v>
      </c>
      <c r="C10" s="8" t="s">
        <v>38</v>
      </c>
      <c r="D10" s="7" t="s">
        <v>39</v>
      </c>
      <c r="E10" s="9" t="s">
        <v>40</v>
      </c>
      <c r="F10" s="6">
        <v>366.0</v>
      </c>
      <c r="G10" s="10" t="s">
        <v>16</v>
      </c>
      <c r="H10" s="11" t="s">
        <v>17</v>
      </c>
      <c r="I10" s="12"/>
      <c r="J10" s="13" t="s">
        <v>32</v>
      </c>
      <c r="K10" s="14"/>
      <c r="L10" s="15"/>
      <c r="M10" s="15"/>
    </row>
    <row r="11">
      <c r="A11" s="6">
        <v>9.0</v>
      </c>
      <c r="B11" s="17" t="s">
        <v>12</v>
      </c>
      <c r="C11" s="18" t="s">
        <v>41</v>
      </c>
      <c r="D11" s="17" t="s">
        <v>42</v>
      </c>
      <c r="E11" s="17"/>
      <c r="F11" s="19">
        <v>1.0</v>
      </c>
      <c r="G11" s="20" t="s">
        <v>43</v>
      </c>
      <c r="H11" s="21" t="s">
        <v>44</v>
      </c>
      <c r="I11" s="22" t="s">
        <v>45</v>
      </c>
      <c r="J11" s="23" t="s">
        <v>46</v>
      </c>
      <c r="K11" s="5"/>
      <c r="L11" s="5"/>
      <c r="M11" s="5"/>
    </row>
    <row r="12">
      <c r="A12" s="6">
        <v>10.0</v>
      </c>
      <c r="B12" s="17" t="s">
        <v>12</v>
      </c>
      <c r="C12" s="18" t="s">
        <v>47</v>
      </c>
      <c r="D12" s="17" t="s">
        <v>48</v>
      </c>
      <c r="E12" s="17"/>
      <c r="F12" s="19">
        <v>0.0</v>
      </c>
      <c r="G12" s="20" t="s">
        <v>49</v>
      </c>
      <c r="H12" s="21" t="s">
        <v>17</v>
      </c>
      <c r="I12" s="24"/>
      <c r="J12" s="23"/>
      <c r="K12" s="5"/>
      <c r="L12" s="5"/>
      <c r="M12" s="5"/>
    </row>
    <row r="13">
      <c r="A13" s="6">
        <v>11.0</v>
      </c>
      <c r="B13" s="17" t="s">
        <v>12</v>
      </c>
      <c r="C13" s="18" t="s">
        <v>50</v>
      </c>
      <c r="D13" s="17" t="s">
        <v>51</v>
      </c>
      <c r="E13" s="17"/>
      <c r="F13" s="19"/>
      <c r="G13" s="20" t="s">
        <v>49</v>
      </c>
      <c r="H13" s="21" t="s">
        <v>17</v>
      </c>
      <c r="I13" s="24"/>
      <c r="J13" s="23"/>
      <c r="K13" s="5"/>
      <c r="L13" s="5"/>
      <c r="M13" s="5"/>
    </row>
    <row r="14">
      <c r="A14" s="6">
        <v>12.0</v>
      </c>
      <c r="B14" s="17" t="s">
        <v>12</v>
      </c>
      <c r="C14" s="18" t="s">
        <v>52</v>
      </c>
      <c r="D14" s="17" t="s">
        <v>53</v>
      </c>
      <c r="E14" s="17"/>
      <c r="F14" s="19">
        <v>1.0</v>
      </c>
      <c r="G14" s="20" t="s">
        <v>43</v>
      </c>
      <c r="H14" s="21" t="s">
        <v>44</v>
      </c>
      <c r="I14" s="22" t="s">
        <v>54</v>
      </c>
      <c r="J14" s="23" t="s">
        <v>55</v>
      </c>
      <c r="K14" s="25"/>
      <c r="L14" s="5"/>
      <c r="M14" s="5"/>
    </row>
    <row r="15">
      <c r="A15" s="6">
        <v>13.0</v>
      </c>
      <c r="B15" s="17" t="s">
        <v>12</v>
      </c>
      <c r="C15" s="18" t="s">
        <v>56</v>
      </c>
      <c r="D15" s="17" t="s">
        <v>57</v>
      </c>
      <c r="E15" s="17"/>
      <c r="F15" s="19">
        <v>1.0</v>
      </c>
      <c r="G15" s="20" t="s">
        <v>43</v>
      </c>
      <c r="H15" s="21" t="s">
        <v>44</v>
      </c>
      <c r="I15" s="22" t="s">
        <v>58</v>
      </c>
      <c r="J15" s="23" t="s">
        <v>59</v>
      </c>
      <c r="K15" s="25"/>
      <c r="L15" s="5"/>
      <c r="M15" s="5"/>
    </row>
    <row r="16">
      <c r="A16" s="6">
        <v>14.0</v>
      </c>
      <c r="B16" s="7" t="s">
        <v>12</v>
      </c>
      <c r="C16" s="26" t="s">
        <v>60</v>
      </c>
      <c r="D16" s="27" t="s">
        <v>61</v>
      </c>
      <c r="E16" s="7"/>
      <c r="F16" s="6">
        <v>13.0</v>
      </c>
      <c r="G16" s="10" t="s">
        <v>49</v>
      </c>
      <c r="H16" s="11" t="s">
        <v>17</v>
      </c>
      <c r="I16" s="12"/>
      <c r="J16" s="13" t="s">
        <v>62</v>
      </c>
      <c r="K16" s="14"/>
      <c r="L16" s="15"/>
      <c r="M16" s="15"/>
    </row>
    <row r="17">
      <c r="A17" s="6">
        <v>15.0</v>
      </c>
      <c r="B17" s="7" t="s">
        <v>12</v>
      </c>
      <c r="C17" s="26" t="s">
        <v>63</v>
      </c>
      <c r="D17" s="27" t="s">
        <v>64</v>
      </c>
      <c r="E17" s="7"/>
      <c r="F17" s="6">
        <v>26.0</v>
      </c>
      <c r="G17" s="10" t="s">
        <v>49</v>
      </c>
      <c r="H17" s="11" t="s">
        <v>17</v>
      </c>
      <c r="I17" s="12"/>
      <c r="J17" s="13" t="s">
        <v>65</v>
      </c>
      <c r="K17" s="14"/>
      <c r="L17" s="15"/>
      <c r="M17" s="15"/>
    </row>
    <row r="18">
      <c r="A18" s="6">
        <v>16.0</v>
      </c>
      <c r="B18" s="7" t="s">
        <v>12</v>
      </c>
      <c r="C18" s="8" t="s">
        <v>66</v>
      </c>
      <c r="D18" s="7" t="s">
        <v>67</v>
      </c>
      <c r="E18" s="7"/>
      <c r="F18" s="6">
        <v>19.0</v>
      </c>
      <c r="G18" s="10" t="s">
        <v>49</v>
      </c>
      <c r="H18" s="28" t="s">
        <v>44</v>
      </c>
      <c r="I18" s="12"/>
      <c r="J18" s="29" t="s">
        <v>68</v>
      </c>
      <c r="K18" s="14"/>
      <c r="L18" s="15"/>
      <c r="M18" s="15"/>
    </row>
    <row r="19">
      <c r="A19" s="6">
        <v>17.0</v>
      </c>
      <c r="B19" s="7" t="s">
        <v>12</v>
      </c>
      <c r="C19" s="8" t="s">
        <v>69</v>
      </c>
      <c r="D19" s="7" t="s">
        <v>70</v>
      </c>
      <c r="E19" s="7"/>
      <c r="F19" s="6">
        <v>13.0</v>
      </c>
      <c r="G19" s="10" t="s">
        <v>49</v>
      </c>
      <c r="H19" s="28" t="s">
        <v>44</v>
      </c>
      <c r="I19" s="12"/>
      <c r="J19" s="29" t="s">
        <v>68</v>
      </c>
      <c r="K19" s="14"/>
      <c r="L19" s="15"/>
      <c r="M19" s="15"/>
    </row>
    <row r="20">
      <c r="A20" s="6">
        <v>18.0</v>
      </c>
      <c r="B20" s="7" t="s">
        <v>12</v>
      </c>
      <c r="C20" s="8" t="s">
        <v>71</v>
      </c>
      <c r="D20" s="7" t="s">
        <v>72</v>
      </c>
      <c r="E20" s="7"/>
      <c r="F20" s="6">
        <v>7.0</v>
      </c>
      <c r="G20" s="10" t="s">
        <v>49</v>
      </c>
      <c r="H20" s="28" t="s">
        <v>44</v>
      </c>
      <c r="I20" s="12"/>
      <c r="J20" s="29" t="s">
        <v>68</v>
      </c>
      <c r="K20" s="14"/>
      <c r="L20" s="15"/>
      <c r="M20" s="15"/>
    </row>
    <row r="21">
      <c r="A21" s="6">
        <v>19.0</v>
      </c>
      <c r="B21" s="7" t="s">
        <v>12</v>
      </c>
      <c r="C21" s="8" t="s">
        <v>73</v>
      </c>
      <c r="D21" s="7" t="s">
        <v>74</v>
      </c>
      <c r="E21" s="7"/>
      <c r="F21" s="6">
        <v>12.0</v>
      </c>
      <c r="G21" s="10" t="s">
        <v>49</v>
      </c>
      <c r="H21" s="28" t="s">
        <v>44</v>
      </c>
      <c r="I21" s="12"/>
      <c r="J21" s="30"/>
      <c r="K21" s="14"/>
      <c r="L21" s="15"/>
      <c r="M21" s="15"/>
    </row>
    <row r="22">
      <c r="A22" s="6">
        <v>20.0</v>
      </c>
      <c r="B22" s="7" t="s">
        <v>75</v>
      </c>
      <c r="C22" s="8" t="s">
        <v>76</v>
      </c>
      <c r="D22" s="7" t="s">
        <v>77</v>
      </c>
      <c r="E22" s="7"/>
      <c r="F22" s="6">
        <v>11.0</v>
      </c>
      <c r="G22" s="10" t="s">
        <v>49</v>
      </c>
      <c r="H22" s="28" t="s">
        <v>44</v>
      </c>
      <c r="I22" s="12"/>
      <c r="J22" s="30"/>
      <c r="K22" s="14"/>
      <c r="L22" s="15"/>
      <c r="M22" s="15"/>
    </row>
    <row r="23">
      <c r="A23" s="6">
        <v>21.0</v>
      </c>
      <c r="B23" s="17" t="s">
        <v>12</v>
      </c>
      <c r="C23" s="18" t="s">
        <v>78</v>
      </c>
      <c r="D23" s="17" t="s">
        <v>79</v>
      </c>
      <c r="E23" s="17"/>
      <c r="F23" s="19">
        <v>1.0</v>
      </c>
      <c r="G23" s="20" t="s">
        <v>80</v>
      </c>
      <c r="H23" s="21" t="s">
        <v>44</v>
      </c>
      <c r="I23" s="22" t="s">
        <v>81</v>
      </c>
      <c r="J23" s="23" t="s">
        <v>82</v>
      </c>
      <c r="K23" s="25"/>
      <c r="L23" s="5"/>
      <c r="M23" s="5"/>
    </row>
    <row r="24">
      <c r="A24" s="6">
        <v>22.0</v>
      </c>
      <c r="B24" s="17" t="s">
        <v>12</v>
      </c>
      <c r="C24" s="18" t="s">
        <v>83</v>
      </c>
      <c r="D24" s="17" t="s">
        <v>84</v>
      </c>
      <c r="E24" s="17"/>
      <c r="F24" s="19">
        <v>1.0</v>
      </c>
      <c r="G24" s="20" t="s">
        <v>80</v>
      </c>
      <c r="H24" s="21" t="s">
        <v>44</v>
      </c>
      <c r="I24" s="22" t="s">
        <v>85</v>
      </c>
      <c r="J24" s="23" t="s">
        <v>82</v>
      </c>
      <c r="K24" s="25"/>
      <c r="L24" s="5"/>
      <c r="M24" s="5"/>
    </row>
    <row r="25">
      <c r="A25" s="6">
        <v>23.0</v>
      </c>
      <c r="B25" s="17" t="s">
        <v>12</v>
      </c>
      <c r="C25" s="18" t="s">
        <v>86</v>
      </c>
      <c r="D25" s="17" t="s">
        <v>87</v>
      </c>
      <c r="E25" s="17"/>
      <c r="F25" s="19">
        <v>1.0</v>
      </c>
      <c r="G25" s="20" t="s">
        <v>80</v>
      </c>
      <c r="H25" s="21" t="s">
        <v>44</v>
      </c>
      <c r="I25" s="22" t="s">
        <v>88</v>
      </c>
      <c r="J25" s="23" t="s">
        <v>89</v>
      </c>
      <c r="K25" s="25"/>
      <c r="L25" s="5"/>
      <c r="M25" s="5"/>
    </row>
    <row r="26">
      <c r="A26" s="6">
        <v>24.0</v>
      </c>
      <c r="B26" s="17" t="s">
        <v>12</v>
      </c>
      <c r="C26" s="18" t="s">
        <v>90</v>
      </c>
      <c r="D26" s="17" t="s">
        <v>91</v>
      </c>
      <c r="E26" s="17"/>
      <c r="F26" s="19">
        <v>1.0</v>
      </c>
      <c r="G26" s="20" t="s">
        <v>80</v>
      </c>
      <c r="H26" s="21" t="s">
        <v>44</v>
      </c>
      <c r="I26" s="22" t="s">
        <v>92</v>
      </c>
      <c r="J26" s="23" t="s">
        <v>93</v>
      </c>
      <c r="K26" s="25"/>
      <c r="L26" s="5"/>
      <c r="M26" s="5"/>
    </row>
    <row r="27">
      <c r="A27" s="6">
        <v>25.0</v>
      </c>
      <c r="B27" s="17" t="s">
        <v>12</v>
      </c>
      <c r="C27" s="18" t="s">
        <v>94</v>
      </c>
      <c r="D27" s="17" t="s">
        <v>95</v>
      </c>
      <c r="E27" s="17"/>
      <c r="F27" s="19">
        <v>1.0</v>
      </c>
      <c r="G27" s="20" t="s">
        <v>80</v>
      </c>
      <c r="H27" s="21" t="s">
        <v>44</v>
      </c>
      <c r="I27" s="22" t="s">
        <v>96</v>
      </c>
      <c r="J27" s="23" t="s">
        <v>97</v>
      </c>
      <c r="K27" s="25"/>
      <c r="L27" s="5"/>
      <c r="M27" s="5"/>
    </row>
    <row r="28">
      <c r="A28" s="6">
        <v>26.0</v>
      </c>
      <c r="B28" s="17" t="s">
        <v>12</v>
      </c>
      <c r="C28" s="18" t="s">
        <v>98</v>
      </c>
      <c r="D28" s="17" t="s">
        <v>99</v>
      </c>
      <c r="E28" s="17"/>
      <c r="F28" s="19">
        <v>1.0</v>
      </c>
      <c r="G28" s="20" t="s">
        <v>100</v>
      </c>
      <c r="H28" s="21" t="s">
        <v>44</v>
      </c>
      <c r="I28" s="22" t="s">
        <v>101</v>
      </c>
      <c r="J28" s="23" t="s">
        <v>102</v>
      </c>
      <c r="K28" s="25"/>
      <c r="L28" s="5"/>
      <c r="M28" s="5"/>
    </row>
    <row r="29">
      <c r="A29" s="6">
        <v>27.0</v>
      </c>
      <c r="B29" s="17" t="s">
        <v>12</v>
      </c>
      <c r="C29" s="18" t="s">
        <v>103</v>
      </c>
      <c r="D29" s="17" t="s">
        <v>104</v>
      </c>
      <c r="E29" s="17"/>
      <c r="F29" s="19">
        <v>1.0</v>
      </c>
      <c r="G29" s="20" t="s">
        <v>80</v>
      </c>
      <c r="H29" s="21" t="s">
        <v>105</v>
      </c>
      <c r="I29" s="31"/>
      <c r="J29" s="25"/>
      <c r="K29" s="25"/>
      <c r="L29" s="5"/>
      <c r="M29" s="5"/>
    </row>
    <row r="30">
      <c r="A30" s="6">
        <v>28.0</v>
      </c>
      <c r="B30" s="17" t="s">
        <v>12</v>
      </c>
      <c r="C30" s="18" t="s">
        <v>106</v>
      </c>
      <c r="D30" s="17" t="s">
        <v>107</v>
      </c>
      <c r="E30" s="17"/>
      <c r="F30" s="19">
        <v>1.0</v>
      </c>
      <c r="G30" s="20" t="s">
        <v>80</v>
      </c>
      <c r="H30" s="21" t="s">
        <v>105</v>
      </c>
      <c r="I30" s="31"/>
      <c r="J30" s="25"/>
      <c r="K30" s="25"/>
      <c r="L30" s="5"/>
      <c r="M30" s="5"/>
    </row>
    <row r="31">
      <c r="A31" s="6">
        <v>29.0</v>
      </c>
      <c r="B31" s="32" t="s">
        <v>108</v>
      </c>
      <c r="C31" s="33" t="s">
        <v>109</v>
      </c>
      <c r="D31" s="32" t="s">
        <v>110</v>
      </c>
      <c r="E31" s="32"/>
      <c r="F31" s="34">
        <v>1.0</v>
      </c>
      <c r="G31" s="35" t="s">
        <v>80</v>
      </c>
      <c r="H31" s="36" t="s">
        <v>44</v>
      </c>
      <c r="I31" s="37"/>
      <c r="J31" s="38"/>
      <c r="K31" s="38"/>
      <c r="L31" s="5"/>
      <c r="M31" s="5"/>
    </row>
    <row r="32">
      <c r="A32" s="6">
        <v>30.0</v>
      </c>
      <c r="B32" s="32" t="s">
        <v>108</v>
      </c>
      <c r="C32" s="33" t="s">
        <v>111</v>
      </c>
      <c r="D32" s="32" t="s">
        <v>112</v>
      </c>
      <c r="E32" s="32"/>
      <c r="F32" s="34">
        <v>1.0</v>
      </c>
      <c r="G32" s="35" t="s">
        <v>80</v>
      </c>
      <c r="H32" s="36" t="s">
        <v>44</v>
      </c>
      <c r="I32" s="37"/>
      <c r="J32" s="38"/>
      <c r="K32" s="38"/>
      <c r="L32" s="5"/>
      <c r="M32" s="5"/>
    </row>
    <row r="33">
      <c r="A33" s="6">
        <v>31.0</v>
      </c>
      <c r="B33" s="32" t="s">
        <v>108</v>
      </c>
      <c r="C33" s="33" t="s">
        <v>113</v>
      </c>
      <c r="D33" s="32" t="s">
        <v>114</v>
      </c>
      <c r="E33" s="32"/>
      <c r="F33" s="34">
        <v>1.0</v>
      </c>
      <c r="G33" s="35" t="s">
        <v>80</v>
      </c>
      <c r="H33" s="36" t="s">
        <v>44</v>
      </c>
      <c r="I33" s="37"/>
      <c r="J33" s="38"/>
      <c r="K33" s="38"/>
      <c r="L33" s="5"/>
      <c r="M33" s="5"/>
    </row>
    <row r="34">
      <c r="A34" s="6">
        <v>32.0</v>
      </c>
      <c r="B34" s="32" t="s">
        <v>108</v>
      </c>
      <c r="C34" s="33" t="s">
        <v>115</v>
      </c>
      <c r="D34" s="32" t="s">
        <v>116</v>
      </c>
      <c r="E34" s="32"/>
      <c r="F34" s="34">
        <v>1.0</v>
      </c>
      <c r="G34" s="35" t="s">
        <v>80</v>
      </c>
      <c r="H34" s="36" t="s">
        <v>44</v>
      </c>
      <c r="I34" s="37"/>
      <c r="J34" s="38"/>
      <c r="K34" s="38"/>
      <c r="L34" s="5"/>
      <c r="M34" s="5"/>
    </row>
    <row r="35">
      <c r="A35" s="6">
        <v>33.0</v>
      </c>
      <c r="B35" s="32" t="s">
        <v>108</v>
      </c>
      <c r="C35" s="33" t="s">
        <v>117</v>
      </c>
      <c r="D35" s="32" t="s">
        <v>118</v>
      </c>
      <c r="E35" s="32"/>
      <c r="F35" s="34">
        <v>1.0</v>
      </c>
      <c r="G35" s="35" t="s">
        <v>80</v>
      </c>
      <c r="H35" s="36" t="s">
        <v>44</v>
      </c>
      <c r="I35" s="37"/>
      <c r="J35" s="38"/>
      <c r="K35" s="38"/>
      <c r="L35" s="5"/>
      <c r="M35" s="5"/>
    </row>
    <row r="36">
      <c r="A36" s="6">
        <v>34.0</v>
      </c>
      <c r="B36" s="32" t="s">
        <v>108</v>
      </c>
      <c r="C36" s="39" t="s">
        <v>119</v>
      </c>
      <c r="D36" s="27" t="s">
        <v>120</v>
      </c>
      <c r="E36" s="27" t="s">
        <v>121</v>
      </c>
      <c r="F36" s="34"/>
      <c r="G36" s="35"/>
      <c r="H36" s="36"/>
      <c r="I36" s="37"/>
      <c r="J36" s="38"/>
      <c r="K36" s="38"/>
      <c r="L36" s="5"/>
      <c r="M36" s="5"/>
    </row>
    <row r="37">
      <c r="A37" s="6">
        <v>35.0</v>
      </c>
      <c r="B37" s="32" t="s">
        <v>108</v>
      </c>
      <c r="C37" s="39" t="s">
        <v>122</v>
      </c>
      <c r="D37" s="40" t="s">
        <v>123</v>
      </c>
      <c r="E37" s="27" t="s">
        <v>124</v>
      </c>
      <c r="F37" s="34"/>
      <c r="G37" s="35"/>
      <c r="H37" s="36"/>
      <c r="I37" s="37"/>
      <c r="J37" s="38"/>
      <c r="K37" s="38"/>
      <c r="L37" s="5"/>
      <c r="M37" s="5"/>
    </row>
    <row r="38">
      <c r="A38" s="6">
        <v>36.0</v>
      </c>
      <c r="B38" s="32" t="s">
        <v>108</v>
      </c>
      <c r="C38" s="39" t="s">
        <v>125</v>
      </c>
      <c r="D38" s="27" t="s">
        <v>126</v>
      </c>
      <c r="E38" s="27" t="s">
        <v>127</v>
      </c>
      <c r="F38" s="34"/>
      <c r="G38" s="35"/>
      <c r="H38" s="36"/>
      <c r="I38" s="37"/>
      <c r="J38" s="38"/>
      <c r="K38" s="38"/>
      <c r="L38" s="5"/>
      <c r="M38" s="5"/>
    </row>
    <row r="39">
      <c r="A39" s="6">
        <v>37.0</v>
      </c>
      <c r="B39" s="32" t="s">
        <v>108</v>
      </c>
      <c r="C39" s="39" t="s">
        <v>128</v>
      </c>
      <c r="D39" s="40" t="s">
        <v>129</v>
      </c>
      <c r="E39" s="27" t="s">
        <v>130</v>
      </c>
      <c r="F39" s="34"/>
      <c r="G39" s="35"/>
      <c r="H39" s="36"/>
      <c r="I39" s="37"/>
      <c r="J39" s="38"/>
      <c r="K39" s="38"/>
      <c r="L39" s="5"/>
      <c r="M39" s="5"/>
    </row>
    <row r="40">
      <c r="A40" s="6">
        <v>38.0</v>
      </c>
      <c r="B40" s="32" t="s">
        <v>108</v>
      </c>
      <c r="C40" s="41" t="s">
        <v>131</v>
      </c>
      <c r="D40" s="41" t="s">
        <v>132</v>
      </c>
      <c r="E40" s="41"/>
      <c r="F40" s="34"/>
      <c r="G40" s="35"/>
      <c r="H40" s="36"/>
      <c r="I40" s="37"/>
      <c r="J40" s="38"/>
      <c r="K40" s="38"/>
      <c r="L40" s="5"/>
      <c r="M40" s="5"/>
    </row>
    <row r="41">
      <c r="A41" s="6">
        <v>39.0</v>
      </c>
      <c r="B41" s="32" t="s">
        <v>108</v>
      </c>
      <c r="C41" s="33" t="s">
        <v>133</v>
      </c>
      <c r="D41" s="32" t="s">
        <v>134</v>
      </c>
      <c r="E41" s="32"/>
      <c r="F41" s="34">
        <v>1.0</v>
      </c>
      <c r="G41" s="35" t="s">
        <v>80</v>
      </c>
      <c r="H41" s="36" t="s">
        <v>44</v>
      </c>
      <c r="I41" s="37"/>
      <c r="J41" s="38"/>
      <c r="K41" s="38"/>
      <c r="L41" s="5"/>
      <c r="M41" s="5"/>
    </row>
    <row r="42">
      <c r="A42" s="6">
        <v>40.0</v>
      </c>
      <c r="B42" s="32" t="s">
        <v>108</v>
      </c>
      <c r="C42" s="33" t="s">
        <v>135</v>
      </c>
      <c r="D42" s="32" t="s">
        <v>136</v>
      </c>
      <c r="E42" s="32"/>
      <c r="F42" s="34">
        <v>1.0</v>
      </c>
      <c r="G42" s="35" t="s">
        <v>80</v>
      </c>
      <c r="H42" s="36" t="s">
        <v>44</v>
      </c>
      <c r="I42" s="37"/>
      <c r="J42" s="42" t="s">
        <v>137</v>
      </c>
      <c r="K42" s="38"/>
      <c r="L42" s="5"/>
      <c r="M42" s="5"/>
    </row>
    <row r="43">
      <c r="A43" s="6">
        <v>41.0</v>
      </c>
      <c r="B43" s="32" t="s">
        <v>108</v>
      </c>
      <c r="C43" s="33" t="s">
        <v>138</v>
      </c>
      <c r="D43" s="32" t="s">
        <v>139</v>
      </c>
      <c r="E43" s="32"/>
      <c r="F43" s="34">
        <v>1.0</v>
      </c>
      <c r="G43" s="35" t="s">
        <v>80</v>
      </c>
      <c r="H43" s="36" t="s">
        <v>44</v>
      </c>
      <c r="I43" s="37"/>
      <c r="J43" s="38"/>
      <c r="K43" s="38"/>
      <c r="L43" s="5"/>
      <c r="M43" s="5"/>
    </row>
    <row r="44">
      <c r="A44" s="6">
        <v>42.0</v>
      </c>
      <c r="B44" s="32" t="s">
        <v>108</v>
      </c>
      <c r="C44" s="33" t="s">
        <v>140</v>
      </c>
      <c r="D44" s="32" t="s">
        <v>141</v>
      </c>
      <c r="E44" s="32"/>
      <c r="F44" s="34">
        <v>1.0</v>
      </c>
      <c r="G44" s="35" t="s">
        <v>80</v>
      </c>
      <c r="H44" s="36" t="s">
        <v>44</v>
      </c>
      <c r="I44" s="37"/>
      <c r="J44" s="38"/>
      <c r="K44" s="38"/>
      <c r="L44" s="5"/>
      <c r="M44" s="5"/>
    </row>
    <row r="45">
      <c r="A45" s="6">
        <v>43.0</v>
      </c>
      <c r="B45" s="32" t="s">
        <v>108</v>
      </c>
      <c r="C45" s="33" t="s">
        <v>142</v>
      </c>
      <c r="D45" s="32" t="s">
        <v>143</v>
      </c>
      <c r="E45" s="32"/>
      <c r="F45" s="34">
        <v>1.0</v>
      </c>
      <c r="G45" s="35" t="s">
        <v>80</v>
      </c>
      <c r="H45" s="36" t="s">
        <v>44</v>
      </c>
      <c r="I45" s="37"/>
      <c r="J45" s="38"/>
      <c r="K45" s="38"/>
      <c r="L45" s="5"/>
      <c r="M45" s="5"/>
    </row>
    <row r="46">
      <c r="A46" s="6">
        <v>44.0</v>
      </c>
      <c r="B46" s="32" t="s">
        <v>108</v>
      </c>
      <c r="C46" s="33" t="s">
        <v>144</v>
      </c>
      <c r="D46" s="32" t="s">
        <v>145</v>
      </c>
      <c r="E46" s="32"/>
      <c r="F46" s="34">
        <v>1.0</v>
      </c>
      <c r="G46" s="35" t="s">
        <v>80</v>
      </c>
      <c r="H46" s="36" t="s">
        <v>44</v>
      </c>
      <c r="I46" s="37"/>
      <c r="J46" s="38"/>
      <c r="K46" s="38"/>
      <c r="L46" s="5"/>
      <c r="M46" s="5"/>
    </row>
    <row r="47">
      <c r="A47" s="6">
        <v>45.0</v>
      </c>
      <c r="B47" s="32" t="s">
        <v>108</v>
      </c>
      <c r="C47" s="33" t="s">
        <v>146</v>
      </c>
      <c r="D47" s="32" t="s">
        <v>147</v>
      </c>
      <c r="E47" s="32"/>
      <c r="F47" s="34">
        <v>1.0</v>
      </c>
      <c r="G47" s="35" t="s">
        <v>80</v>
      </c>
      <c r="H47" s="36" t="s">
        <v>44</v>
      </c>
      <c r="I47" s="37"/>
      <c r="J47" s="38"/>
      <c r="K47" s="38"/>
      <c r="L47" s="5"/>
      <c r="M47" s="5"/>
    </row>
    <row r="48">
      <c r="A48" s="6">
        <v>46.0</v>
      </c>
      <c r="B48" s="32" t="s">
        <v>108</v>
      </c>
      <c r="C48" s="33" t="s">
        <v>148</v>
      </c>
      <c r="D48" s="32" t="s">
        <v>149</v>
      </c>
      <c r="E48" s="32"/>
      <c r="F48" s="34">
        <v>1.0</v>
      </c>
      <c r="G48" s="35" t="s">
        <v>80</v>
      </c>
      <c r="H48" s="36" t="s">
        <v>44</v>
      </c>
      <c r="I48" s="37"/>
      <c r="J48" s="38"/>
      <c r="K48" s="38"/>
      <c r="L48" s="5"/>
      <c r="M48" s="5"/>
    </row>
    <row r="49">
      <c r="A49" s="6">
        <v>47.0</v>
      </c>
      <c r="B49" s="32" t="s">
        <v>108</v>
      </c>
      <c r="C49" s="33" t="s">
        <v>150</v>
      </c>
      <c r="D49" s="32" t="s">
        <v>151</v>
      </c>
      <c r="E49" s="32"/>
      <c r="F49" s="34">
        <v>1.0</v>
      </c>
      <c r="G49" s="35" t="s">
        <v>80</v>
      </c>
      <c r="H49" s="36" t="s">
        <v>44</v>
      </c>
      <c r="I49" s="37"/>
      <c r="J49" s="38"/>
      <c r="K49" s="38"/>
      <c r="L49" s="5"/>
      <c r="M49" s="5"/>
    </row>
    <row r="50">
      <c r="A50" s="6">
        <v>48.0</v>
      </c>
      <c r="B50" s="32" t="s">
        <v>108</v>
      </c>
      <c r="C50" s="33" t="s">
        <v>152</v>
      </c>
      <c r="D50" s="32" t="s">
        <v>153</v>
      </c>
      <c r="E50" s="32"/>
      <c r="F50" s="34">
        <v>1.0</v>
      </c>
      <c r="G50" s="35" t="s">
        <v>80</v>
      </c>
      <c r="H50" s="36" t="s">
        <v>44</v>
      </c>
      <c r="I50" s="37"/>
      <c r="J50" s="38"/>
      <c r="K50" s="38"/>
      <c r="L50" s="5"/>
      <c r="M50" s="5"/>
    </row>
    <row r="51">
      <c r="A51" s="6">
        <v>49.0</v>
      </c>
      <c r="B51" s="32" t="s">
        <v>108</v>
      </c>
      <c r="C51" s="33" t="s">
        <v>154</v>
      </c>
      <c r="D51" s="32" t="s">
        <v>155</v>
      </c>
      <c r="E51" s="32"/>
      <c r="F51" s="34">
        <v>1.0</v>
      </c>
      <c r="G51" s="35" t="s">
        <v>80</v>
      </c>
      <c r="H51" s="36" t="s">
        <v>44</v>
      </c>
      <c r="I51" s="37"/>
      <c r="J51" s="38"/>
      <c r="K51" s="38"/>
      <c r="L51" s="5"/>
      <c r="M51" s="5"/>
    </row>
    <row r="52">
      <c r="A52" s="6">
        <v>50.0</v>
      </c>
      <c r="B52" s="32" t="s">
        <v>108</v>
      </c>
      <c r="C52" s="33" t="s">
        <v>156</v>
      </c>
      <c r="D52" s="32" t="s">
        <v>157</v>
      </c>
      <c r="E52" s="32"/>
      <c r="F52" s="34">
        <v>1.0</v>
      </c>
      <c r="G52" s="35" t="s">
        <v>80</v>
      </c>
      <c r="H52" s="36" t="s">
        <v>44</v>
      </c>
      <c r="I52" s="37"/>
      <c r="J52" s="42" t="s">
        <v>158</v>
      </c>
      <c r="K52" s="38"/>
      <c r="L52" s="5"/>
      <c r="M52" s="5"/>
    </row>
    <row r="53">
      <c r="A53" s="6">
        <v>51.0</v>
      </c>
      <c r="B53" s="32" t="s">
        <v>108</v>
      </c>
      <c r="C53" s="33" t="s">
        <v>159</v>
      </c>
      <c r="D53" s="32" t="s">
        <v>160</v>
      </c>
      <c r="E53" s="32"/>
      <c r="F53" s="34">
        <v>1.0</v>
      </c>
      <c r="G53" s="35" t="s">
        <v>80</v>
      </c>
      <c r="H53" s="36" t="s">
        <v>44</v>
      </c>
      <c r="I53" s="37"/>
      <c r="J53" s="38"/>
      <c r="K53" s="38"/>
      <c r="L53" s="5"/>
      <c r="M53" s="5"/>
    </row>
    <row r="54">
      <c r="A54" s="6">
        <v>52.0</v>
      </c>
      <c r="B54" s="32" t="s">
        <v>108</v>
      </c>
      <c r="C54" s="33" t="s">
        <v>161</v>
      </c>
      <c r="D54" s="32" t="s">
        <v>162</v>
      </c>
      <c r="E54" s="32"/>
      <c r="F54" s="34">
        <v>1.0</v>
      </c>
      <c r="G54" s="35" t="s">
        <v>80</v>
      </c>
      <c r="H54" s="36" t="s">
        <v>44</v>
      </c>
      <c r="I54" s="37"/>
      <c r="J54" s="38"/>
      <c r="K54" s="38"/>
      <c r="L54" s="5"/>
      <c r="M54" s="5"/>
    </row>
    <row r="55">
      <c r="A55" s="6">
        <v>53.0</v>
      </c>
      <c r="B55" s="32" t="s">
        <v>108</v>
      </c>
      <c r="C55" s="33" t="s">
        <v>163</v>
      </c>
      <c r="D55" s="32" t="s">
        <v>164</v>
      </c>
      <c r="E55" s="32"/>
      <c r="F55" s="34">
        <v>1.0</v>
      </c>
      <c r="G55" s="35" t="s">
        <v>80</v>
      </c>
      <c r="H55" s="36" t="s">
        <v>44</v>
      </c>
      <c r="I55" s="37"/>
      <c r="J55" s="38"/>
      <c r="K55" s="38"/>
      <c r="L55" s="5"/>
      <c r="M55" s="5"/>
    </row>
    <row r="56">
      <c r="A56" s="6">
        <v>54.0</v>
      </c>
      <c r="B56" s="32" t="s">
        <v>108</v>
      </c>
      <c r="C56" s="33" t="s">
        <v>165</v>
      </c>
      <c r="D56" s="32" t="s">
        <v>166</v>
      </c>
      <c r="E56" s="32"/>
      <c r="F56" s="34">
        <v>1.0</v>
      </c>
      <c r="G56" s="35" t="s">
        <v>80</v>
      </c>
      <c r="H56" s="36" t="s">
        <v>44</v>
      </c>
      <c r="I56" s="37"/>
      <c r="J56" s="38"/>
      <c r="K56" s="38"/>
      <c r="L56" s="5"/>
      <c r="M56" s="5"/>
    </row>
    <row r="57">
      <c r="A57" s="6">
        <v>55.0</v>
      </c>
      <c r="B57" s="32" t="s">
        <v>108</v>
      </c>
      <c r="C57" s="33" t="s">
        <v>167</v>
      </c>
      <c r="D57" s="32" t="s">
        <v>168</v>
      </c>
      <c r="E57" s="32"/>
      <c r="F57" s="34">
        <v>1.0</v>
      </c>
      <c r="G57" s="35" t="s">
        <v>80</v>
      </c>
      <c r="H57" s="36" t="s">
        <v>44</v>
      </c>
      <c r="I57" s="37"/>
      <c r="J57" s="38"/>
      <c r="K57" s="38"/>
      <c r="L57" s="5"/>
      <c r="M57" s="5"/>
    </row>
    <row r="58">
      <c r="A58" s="6">
        <v>56.0</v>
      </c>
      <c r="B58" s="32" t="s">
        <v>108</v>
      </c>
      <c r="C58" s="33" t="s">
        <v>169</v>
      </c>
      <c r="D58" s="32" t="s">
        <v>170</v>
      </c>
      <c r="E58" s="32"/>
      <c r="F58" s="34"/>
      <c r="G58" s="35"/>
      <c r="H58" s="36"/>
      <c r="I58" s="37"/>
      <c r="J58" s="38"/>
      <c r="K58" s="38"/>
      <c r="L58" s="5"/>
      <c r="M58" s="5"/>
    </row>
    <row r="59">
      <c r="A59" s="6">
        <v>57.0</v>
      </c>
      <c r="B59" s="32" t="s">
        <v>108</v>
      </c>
      <c r="C59" s="33" t="s">
        <v>171</v>
      </c>
      <c r="D59" s="32" t="s">
        <v>172</v>
      </c>
      <c r="E59" s="32"/>
      <c r="F59" s="34"/>
      <c r="G59" s="35"/>
      <c r="H59" s="36"/>
      <c r="I59" s="37"/>
      <c r="J59" s="38"/>
      <c r="K59" s="38"/>
      <c r="L59" s="5"/>
      <c r="M59" s="5"/>
    </row>
    <row r="60">
      <c r="A60" s="6">
        <v>58.0</v>
      </c>
      <c r="B60" s="7" t="s">
        <v>108</v>
      </c>
      <c r="C60" s="8" t="s">
        <v>173</v>
      </c>
      <c r="D60" s="7" t="s">
        <v>174</v>
      </c>
      <c r="E60" s="7"/>
      <c r="F60" s="6">
        <v>270.0</v>
      </c>
      <c r="G60" s="10" t="s">
        <v>175</v>
      </c>
      <c r="H60" s="11" t="s">
        <v>17</v>
      </c>
      <c r="I60" s="12"/>
      <c r="J60" s="14"/>
      <c r="K60" s="14"/>
      <c r="L60" s="15"/>
      <c r="M60" s="15"/>
    </row>
    <row r="61">
      <c r="A61" s="6">
        <v>59.0</v>
      </c>
      <c r="B61" s="7" t="s">
        <v>108</v>
      </c>
      <c r="C61" s="8" t="s">
        <v>176</v>
      </c>
      <c r="D61" s="7" t="s">
        <v>177</v>
      </c>
      <c r="E61" s="7"/>
      <c r="F61" s="6">
        <v>158.0</v>
      </c>
      <c r="G61" s="10" t="s">
        <v>175</v>
      </c>
      <c r="H61" s="11" t="s">
        <v>17</v>
      </c>
      <c r="I61" s="12"/>
      <c r="J61" s="14"/>
      <c r="K61" s="14"/>
      <c r="L61" s="15"/>
      <c r="M61" s="15"/>
    </row>
    <row r="62">
      <c r="A62" s="6">
        <v>60.0</v>
      </c>
      <c r="B62" s="7" t="s">
        <v>108</v>
      </c>
      <c r="C62" s="8" t="s">
        <v>178</v>
      </c>
      <c r="D62" s="7" t="s">
        <v>179</v>
      </c>
      <c r="E62" s="7" t="s">
        <v>180</v>
      </c>
      <c r="F62" s="6"/>
      <c r="G62" s="10" t="s">
        <v>181</v>
      </c>
      <c r="H62" s="11" t="s">
        <v>17</v>
      </c>
      <c r="I62" s="12"/>
      <c r="J62" s="14"/>
      <c r="K62" s="14"/>
      <c r="L62" s="15"/>
      <c r="M62" s="15"/>
    </row>
    <row r="63">
      <c r="A63" s="6">
        <v>61.0</v>
      </c>
      <c r="B63" s="7" t="s">
        <v>108</v>
      </c>
      <c r="C63" s="43"/>
      <c r="D63" s="7" t="s">
        <v>182</v>
      </c>
      <c r="E63" s="7"/>
      <c r="F63" s="6">
        <v>100.0</v>
      </c>
      <c r="G63" s="10" t="s">
        <v>183</v>
      </c>
      <c r="H63" s="11" t="s">
        <v>17</v>
      </c>
      <c r="I63" s="12"/>
      <c r="J63" s="14"/>
      <c r="K63" s="14"/>
      <c r="L63" s="15"/>
      <c r="M63" s="15"/>
    </row>
    <row r="64">
      <c r="A64" s="6">
        <v>62.0</v>
      </c>
      <c r="B64" s="7" t="s">
        <v>108</v>
      </c>
      <c r="C64" s="43"/>
      <c r="D64" s="7" t="s">
        <v>184</v>
      </c>
      <c r="E64" s="7"/>
      <c r="F64" s="6">
        <v>100.0</v>
      </c>
      <c r="G64" s="10" t="s">
        <v>183</v>
      </c>
      <c r="H64" s="11" t="s">
        <v>17</v>
      </c>
      <c r="I64" s="12"/>
      <c r="J64" s="14"/>
      <c r="K64" s="14"/>
      <c r="L64" s="15"/>
      <c r="M64" s="15"/>
    </row>
    <row r="65">
      <c r="A65" s="6">
        <v>63.0</v>
      </c>
      <c r="B65" s="7" t="s">
        <v>108</v>
      </c>
      <c r="C65" s="44" t="s">
        <v>185</v>
      </c>
      <c r="D65" s="45" t="s">
        <v>186</v>
      </c>
      <c r="E65" s="45" t="s">
        <v>187</v>
      </c>
      <c r="F65" s="6"/>
      <c r="G65" s="10"/>
      <c r="H65" s="28"/>
      <c r="I65" s="12"/>
      <c r="J65" s="14"/>
      <c r="K65" s="14"/>
      <c r="L65" s="15"/>
      <c r="M65" s="15"/>
    </row>
    <row r="66">
      <c r="A66" s="6">
        <v>64.0</v>
      </c>
      <c r="B66" s="7" t="s">
        <v>108</v>
      </c>
      <c r="C66" s="46" t="s">
        <v>188</v>
      </c>
      <c r="D66" s="47" t="s">
        <v>189</v>
      </c>
      <c r="E66" s="47" t="s">
        <v>190</v>
      </c>
      <c r="F66" s="6"/>
      <c r="G66" s="10"/>
      <c r="H66" s="28"/>
      <c r="I66" s="12"/>
      <c r="J66" s="14"/>
      <c r="K66" s="14"/>
      <c r="L66" s="15"/>
      <c r="M66" s="15"/>
    </row>
    <row r="67">
      <c r="A67" s="6">
        <v>65.0</v>
      </c>
      <c r="B67" s="7" t="s">
        <v>108</v>
      </c>
      <c r="C67" s="48" t="s">
        <v>191</v>
      </c>
      <c r="D67" s="49" t="s">
        <v>192</v>
      </c>
      <c r="E67" s="49"/>
      <c r="F67" s="6"/>
      <c r="G67" s="10"/>
      <c r="H67" s="28"/>
      <c r="I67" s="12"/>
      <c r="J67" s="14"/>
      <c r="K67" s="14"/>
      <c r="L67" s="15"/>
      <c r="M67" s="15"/>
    </row>
    <row r="68">
      <c r="A68" s="6">
        <v>87.0</v>
      </c>
      <c r="B68" s="50" t="s">
        <v>108</v>
      </c>
      <c r="C68" s="51" t="s">
        <v>193</v>
      </c>
      <c r="D68" s="51" t="s">
        <v>194</v>
      </c>
      <c r="E68" s="52"/>
      <c r="F68" s="53"/>
      <c r="G68" s="54"/>
      <c r="H68" s="55"/>
      <c r="I68" s="56"/>
      <c r="J68" s="57"/>
      <c r="K68" s="57"/>
      <c r="L68" s="5"/>
      <c r="M68" s="5"/>
    </row>
    <row r="69">
      <c r="A69" s="6">
        <v>66.0</v>
      </c>
      <c r="B69" s="7" t="s">
        <v>195</v>
      </c>
      <c r="C69" s="26" t="s">
        <v>196</v>
      </c>
      <c r="D69" s="27" t="s">
        <v>197</v>
      </c>
      <c r="E69" s="27"/>
      <c r="F69" s="6">
        <v>145.0</v>
      </c>
      <c r="G69" s="10" t="s">
        <v>198</v>
      </c>
      <c r="H69" s="28" t="s">
        <v>199</v>
      </c>
      <c r="I69" s="12"/>
      <c r="J69" s="14"/>
      <c r="K69" s="14"/>
      <c r="L69" s="15"/>
      <c r="M69" s="15"/>
    </row>
    <row r="70">
      <c r="A70" s="6">
        <v>67.0</v>
      </c>
      <c r="B70" s="7" t="s">
        <v>195</v>
      </c>
      <c r="C70" s="58" t="s">
        <v>200</v>
      </c>
      <c r="D70" s="52" t="s">
        <v>201</v>
      </c>
      <c r="E70" s="52"/>
      <c r="F70" s="6">
        <v>160.0</v>
      </c>
      <c r="G70" s="10" t="s">
        <v>198</v>
      </c>
      <c r="H70" s="28" t="s">
        <v>199</v>
      </c>
      <c r="I70" s="12"/>
      <c r="J70" s="14"/>
      <c r="K70" s="14"/>
      <c r="L70" s="15"/>
      <c r="M70" s="15"/>
    </row>
    <row r="71">
      <c r="A71" s="6">
        <v>68.0</v>
      </c>
      <c r="B71" s="50" t="s">
        <v>195</v>
      </c>
      <c r="C71" s="59" t="s">
        <v>202</v>
      </c>
      <c r="D71" s="50" t="s">
        <v>203</v>
      </c>
      <c r="E71" s="50"/>
      <c r="F71" s="53">
        <v>1.0</v>
      </c>
      <c r="G71" s="54" t="s">
        <v>204</v>
      </c>
      <c r="H71" s="55" t="s">
        <v>199</v>
      </c>
      <c r="I71" s="56"/>
      <c r="J71" s="57"/>
      <c r="K71" s="57"/>
      <c r="L71" s="5"/>
      <c r="M71" s="5"/>
    </row>
    <row r="72">
      <c r="A72" s="6">
        <v>69.0</v>
      </c>
      <c r="B72" s="50" t="s">
        <v>195</v>
      </c>
      <c r="C72" s="59" t="s">
        <v>205</v>
      </c>
      <c r="D72" s="50" t="s">
        <v>206</v>
      </c>
      <c r="E72" s="50"/>
      <c r="F72" s="53">
        <v>1.0</v>
      </c>
      <c r="G72" s="54" t="s">
        <v>204</v>
      </c>
      <c r="H72" s="55" t="s">
        <v>199</v>
      </c>
      <c r="I72" s="56"/>
      <c r="J72" s="57"/>
      <c r="K72" s="57"/>
      <c r="L72" s="5"/>
      <c r="M72" s="5"/>
    </row>
    <row r="73">
      <c r="A73" s="6">
        <v>70.0</v>
      </c>
      <c r="B73" s="50" t="s">
        <v>195</v>
      </c>
      <c r="C73" s="60" t="s">
        <v>207</v>
      </c>
      <c r="D73" s="50" t="s">
        <v>208</v>
      </c>
      <c r="E73" s="50" t="s">
        <v>209</v>
      </c>
      <c r="F73" s="53">
        <v>1.0</v>
      </c>
      <c r="G73" s="54" t="s">
        <v>210</v>
      </c>
      <c r="H73" s="55" t="s">
        <v>199</v>
      </c>
      <c r="I73" s="56"/>
      <c r="J73" s="57"/>
      <c r="K73" s="57"/>
      <c r="L73" s="5"/>
      <c r="M73" s="5"/>
    </row>
    <row r="74">
      <c r="A74" s="6">
        <v>71.0</v>
      </c>
      <c r="B74" s="50" t="s">
        <v>195</v>
      </c>
      <c r="C74" s="40" t="s">
        <v>211</v>
      </c>
      <c r="D74" s="52" t="s">
        <v>212</v>
      </c>
      <c r="E74" s="52"/>
      <c r="F74" s="53"/>
      <c r="G74" s="54"/>
      <c r="H74" s="55"/>
      <c r="I74" s="56"/>
      <c r="J74" s="57"/>
      <c r="K74" s="57"/>
      <c r="L74" s="5"/>
      <c r="M74" s="5"/>
    </row>
    <row r="75">
      <c r="A75" s="6">
        <v>72.0</v>
      </c>
      <c r="B75" s="50" t="s">
        <v>195</v>
      </c>
      <c r="C75" s="40" t="s">
        <v>213</v>
      </c>
      <c r="D75" s="52" t="s">
        <v>214</v>
      </c>
      <c r="E75" s="52"/>
      <c r="F75" s="53"/>
      <c r="G75" s="54"/>
      <c r="H75" s="55"/>
      <c r="I75" s="56"/>
      <c r="J75" s="57"/>
      <c r="K75" s="57"/>
      <c r="L75" s="5"/>
      <c r="M75" s="5"/>
    </row>
    <row r="76">
      <c r="A76" s="6">
        <v>73.0</v>
      </c>
      <c r="B76" s="50" t="s">
        <v>195</v>
      </c>
      <c r="C76" s="40" t="s">
        <v>215</v>
      </c>
      <c r="D76" s="52" t="s">
        <v>216</v>
      </c>
      <c r="E76" s="52"/>
      <c r="F76" s="53"/>
      <c r="G76" s="54"/>
      <c r="H76" s="55"/>
      <c r="I76" s="56"/>
      <c r="J76" s="57"/>
      <c r="K76" s="57"/>
      <c r="L76" s="5"/>
      <c r="M76" s="5"/>
    </row>
    <row r="77">
      <c r="A77" s="6">
        <v>74.0</v>
      </c>
      <c r="B77" s="50" t="s">
        <v>195</v>
      </c>
      <c r="C77" s="40" t="s">
        <v>217</v>
      </c>
      <c r="D77" s="27" t="s">
        <v>218</v>
      </c>
      <c r="E77" s="27"/>
      <c r="F77" s="53"/>
      <c r="G77" s="54"/>
      <c r="H77" s="55"/>
      <c r="I77" s="56"/>
      <c r="J77" s="57"/>
      <c r="K77" s="57"/>
      <c r="L77" s="5"/>
      <c r="M77" s="5"/>
    </row>
    <row r="78">
      <c r="A78" s="6">
        <v>75.0</v>
      </c>
      <c r="B78" s="50" t="s">
        <v>195</v>
      </c>
      <c r="C78" s="40" t="s">
        <v>219</v>
      </c>
      <c r="D78" s="52" t="s">
        <v>220</v>
      </c>
      <c r="E78" s="52"/>
      <c r="F78" s="53"/>
      <c r="G78" s="54"/>
      <c r="H78" s="55"/>
      <c r="I78" s="56"/>
      <c r="J78" s="57"/>
      <c r="K78" s="57"/>
      <c r="L78" s="5"/>
      <c r="M78" s="5"/>
    </row>
    <row r="79">
      <c r="A79" s="6">
        <v>76.0</v>
      </c>
      <c r="B79" s="50" t="s">
        <v>195</v>
      </c>
      <c r="C79" s="40" t="s">
        <v>221</v>
      </c>
      <c r="D79" s="27" t="s">
        <v>222</v>
      </c>
      <c r="E79" s="27"/>
      <c r="F79" s="53"/>
      <c r="G79" s="54"/>
      <c r="H79" s="55"/>
      <c r="I79" s="56"/>
      <c r="J79" s="57"/>
      <c r="K79" s="57"/>
      <c r="L79" s="5"/>
      <c r="M79" s="5"/>
    </row>
    <row r="80">
      <c r="A80" s="6">
        <v>77.0</v>
      </c>
      <c r="B80" s="50" t="s">
        <v>195</v>
      </c>
      <c r="C80" s="40" t="s">
        <v>223</v>
      </c>
      <c r="D80" s="52" t="s">
        <v>224</v>
      </c>
      <c r="E80" s="52"/>
      <c r="F80" s="53"/>
      <c r="G80" s="54"/>
      <c r="H80" s="55"/>
      <c r="I80" s="56"/>
      <c r="J80" s="57"/>
      <c r="K80" s="57"/>
      <c r="L80" s="5"/>
      <c r="M80" s="5"/>
    </row>
    <row r="81">
      <c r="A81" s="6">
        <v>78.0</v>
      </c>
      <c r="B81" s="50" t="s">
        <v>195</v>
      </c>
      <c r="C81" s="40" t="s">
        <v>225</v>
      </c>
      <c r="D81" s="27" t="s">
        <v>226</v>
      </c>
      <c r="E81" s="27"/>
      <c r="F81" s="53"/>
      <c r="G81" s="54"/>
      <c r="H81" s="55"/>
      <c r="I81" s="56"/>
      <c r="J81" s="57"/>
      <c r="K81" s="57"/>
      <c r="L81" s="5"/>
      <c r="M81" s="5"/>
    </row>
    <row r="82">
      <c r="A82" s="6">
        <v>79.0</v>
      </c>
      <c r="B82" s="50" t="s">
        <v>195</v>
      </c>
      <c r="C82" s="27" t="s">
        <v>227</v>
      </c>
      <c r="D82" s="27" t="s">
        <v>228</v>
      </c>
      <c r="E82" s="27"/>
      <c r="F82" s="53"/>
      <c r="G82" s="54"/>
      <c r="H82" s="55"/>
      <c r="I82" s="56"/>
      <c r="J82" s="57"/>
      <c r="K82" s="57"/>
      <c r="L82" s="5"/>
      <c r="M82" s="5"/>
    </row>
    <row r="83">
      <c r="A83" s="6">
        <v>80.0</v>
      </c>
      <c r="B83" s="50" t="s">
        <v>195</v>
      </c>
      <c r="C83" s="52" t="s">
        <v>229</v>
      </c>
      <c r="D83" s="52" t="s">
        <v>230</v>
      </c>
      <c r="E83" s="52"/>
      <c r="F83" s="53"/>
      <c r="G83" s="54"/>
      <c r="H83" s="55"/>
      <c r="I83" s="56"/>
      <c r="J83" s="57"/>
      <c r="K83" s="57"/>
      <c r="L83" s="5"/>
      <c r="M83" s="5"/>
    </row>
    <row r="84">
      <c r="A84" s="6">
        <v>81.0</v>
      </c>
      <c r="B84" s="50" t="s">
        <v>195</v>
      </c>
      <c r="C84" s="27" t="s">
        <v>231</v>
      </c>
      <c r="D84" s="27" t="s">
        <v>232</v>
      </c>
      <c r="E84" s="27"/>
      <c r="F84" s="53"/>
      <c r="G84" s="54"/>
      <c r="H84" s="55"/>
      <c r="I84" s="56"/>
      <c r="J84" s="57"/>
      <c r="K84" s="57"/>
      <c r="L84" s="5"/>
      <c r="M84" s="5"/>
    </row>
    <row r="85">
      <c r="A85" s="6">
        <v>82.0</v>
      </c>
      <c r="B85" s="50" t="s">
        <v>195</v>
      </c>
      <c r="C85" s="52" t="s">
        <v>233</v>
      </c>
      <c r="D85" s="52" t="s">
        <v>234</v>
      </c>
      <c r="E85" s="52"/>
      <c r="F85" s="53"/>
      <c r="G85" s="54"/>
      <c r="H85" s="55"/>
      <c r="I85" s="56"/>
      <c r="J85" s="57"/>
      <c r="K85" s="57"/>
      <c r="L85" s="5"/>
      <c r="M85" s="5"/>
    </row>
    <row r="86">
      <c r="A86" s="6">
        <v>83.0</v>
      </c>
      <c r="B86" s="50" t="s">
        <v>195</v>
      </c>
      <c r="C86" s="27" t="s">
        <v>235</v>
      </c>
      <c r="D86" s="27" t="s">
        <v>236</v>
      </c>
      <c r="E86" s="27"/>
      <c r="F86" s="53"/>
      <c r="G86" s="54"/>
      <c r="H86" s="55"/>
      <c r="I86" s="56"/>
      <c r="J86" s="57"/>
      <c r="K86" s="57"/>
      <c r="L86" s="5"/>
      <c r="M86" s="5"/>
    </row>
    <row r="87">
      <c r="A87" s="6">
        <v>84.0</v>
      </c>
      <c r="B87" s="50" t="s">
        <v>195</v>
      </c>
      <c r="C87" s="52" t="s">
        <v>237</v>
      </c>
      <c r="D87" s="52" t="s">
        <v>238</v>
      </c>
      <c r="E87" s="52"/>
      <c r="F87" s="53"/>
      <c r="G87" s="54"/>
      <c r="H87" s="55"/>
      <c r="I87" s="56"/>
      <c r="J87" s="57"/>
      <c r="K87" s="57"/>
      <c r="L87" s="5"/>
      <c r="M87" s="5"/>
    </row>
    <row r="88">
      <c r="A88" s="6">
        <v>85.0</v>
      </c>
      <c r="B88" s="50" t="s">
        <v>195</v>
      </c>
      <c r="C88" s="27" t="s">
        <v>239</v>
      </c>
      <c r="D88" s="27" t="s">
        <v>240</v>
      </c>
      <c r="E88" s="27"/>
      <c r="F88" s="53"/>
      <c r="G88" s="54"/>
      <c r="H88" s="55"/>
      <c r="I88" s="56"/>
      <c r="J88" s="57"/>
      <c r="K88" s="57"/>
      <c r="L88" s="5"/>
      <c r="M88" s="5"/>
    </row>
    <row r="89">
      <c r="A89" s="6">
        <v>86.0</v>
      </c>
      <c r="B89" s="50" t="s">
        <v>195</v>
      </c>
      <c r="C89" s="52" t="s">
        <v>241</v>
      </c>
      <c r="D89" s="52" t="s">
        <v>242</v>
      </c>
      <c r="E89" s="52"/>
      <c r="F89" s="53"/>
      <c r="G89" s="54"/>
      <c r="H89" s="55"/>
      <c r="I89" s="56"/>
      <c r="J89" s="57"/>
      <c r="K89" s="57"/>
      <c r="L89" s="5"/>
      <c r="M89" s="5"/>
    </row>
    <row r="90">
      <c r="A90" s="6">
        <v>88.0</v>
      </c>
      <c r="B90" s="50" t="s">
        <v>195</v>
      </c>
      <c r="C90" s="27" t="s">
        <v>243</v>
      </c>
      <c r="D90" s="27" t="s">
        <v>244</v>
      </c>
      <c r="E90" s="27" t="s">
        <v>245</v>
      </c>
      <c r="F90" s="53"/>
      <c r="G90" s="54"/>
      <c r="H90" s="55"/>
      <c r="I90" s="56"/>
      <c r="J90" s="57"/>
      <c r="K90" s="57"/>
      <c r="L90" s="5"/>
      <c r="M90" s="5"/>
    </row>
    <row r="91">
      <c r="A91" s="6">
        <v>89.0</v>
      </c>
      <c r="B91" s="50" t="s">
        <v>195</v>
      </c>
      <c r="C91" s="27" t="s">
        <v>246</v>
      </c>
      <c r="D91" s="27" t="s">
        <v>247</v>
      </c>
      <c r="E91" s="27" t="s">
        <v>248</v>
      </c>
      <c r="F91" s="53"/>
      <c r="G91" s="54"/>
      <c r="H91" s="55"/>
      <c r="I91" s="56"/>
      <c r="J91" s="57"/>
      <c r="K91" s="57"/>
      <c r="L91" s="5"/>
      <c r="M91" s="5"/>
    </row>
    <row r="92">
      <c r="A92" s="6">
        <v>90.0</v>
      </c>
      <c r="B92" s="50" t="s">
        <v>195</v>
      </c>
      <c r="C92" s="27" t="s">
        <v>249</v>
      </c>
      <c r="D92" s="27" t="s">
        <v>250</v>
      </c>
      <c r="E92" s="27" t="s">
        <v>251</v>
      </c>
      <c r="F92" s="53"/>
      <c r="G92" s="54"/>
      <c r="H92" s="55"/>
      <c r="I92" s="56"/>
      <c r="J92" s="57"/>
      <c r="K92" s="57"/>
      <c r="L92" s="5"/>
      <c r="M92" s="5"/>
    </row>
    <row r="93">
      <c r="A93" s="6">
        <v>91.0</v>
      </c>
      <c r="B93" s="50" t="s">
        <v>195</v>
      </c>
      <c r="C93" s="27" t="s">
        <v>252</v>
      </c>
      <c r="D93" s="27" t="s">
        <v>253</v>
      </c>
      <c r="E93" s="27" t="s">
        <v>254</v>
      </c>
      <c r="F93" s="53"/>
      <c r="G93" s="54"/>
      <c r="H93" s="55"/>
      <c r="I93" s="56"/>
      <c r="J93" s="57"/>
      <c r="K93" s="57"/>
      <c r="L93" s="5"/>
      <c r="M93" s="5"/>
    </row>
    <row r="94">
      <c r="A94" s="6">
        <v>92.0</v>
      </c>
      <c r="B94" s="50" t="s">
        <v>195</v>
      </c>
      <c r="C94" s="61" t="s">
        <v>255</v>
      </c>
      <c r="D94" s="61" t="s">
        <v>256</v>
      </c>
      <c r="E94" s="27"/>
      <c r="F94" s="53"/>
      <c r="G94" s="54"/>
      <c r="H94" s="55"/>
      <c r="I94" s="56"/>
      <c r="J94" s="57"/>
      <c r="K94" s="57"/>
      <c r="L94" s="5"/>
      <c r="M94" s="5"/>
    </row>
    <row r="95">
      <c r="A95" s="6">
        <v>93.0</v>
      </c>
      <c r="B95" s="50" t="s">
        <v>195</v>
      </c>
      <c r="C95" s="52" t="s">
        <v>257</v>
      </c>
      <c r="D95" s="52" t="s">
        <v>258</v>
      </c>
      <c r="E95" s="52"/>
      <c r="F95" s="53"/>
      <c r="G95" s="54"/>
      <c r="H95" s="55"/>
      <c r="I95" s="56"/>
      <c r="J95" s="57"/>
      <c r="K95" s="57"/>
      <c r="L95" s="5"/>
      <c r="M95" s="5"/>
    </row>
    <row r="96">
      <c r="A96" s="6">
        <v>94.0</v>
      </c>
      <c r="B96" s="50" t="s">
        <v>195</v>
      </c>
      <c r="C96" s="27" t="s">
        <v>259</v>
      </c>
      <c r="D96" s="27" t="s">
        <v>260</v>
      </c>
      <c r="E96" s="27"/>
      <c r="F96" s="53"/>
      <c r="G96" s="54"/>
      <c r="H96" s="55"/>
      <c r="I96" s="56"/>
      <c r="J96" s="57"/>
      <c r="K96" s="57"/>
      <c r="L96" s="5"/>
      <c r="M96" s="5"/>
    </row>
    <row r="97">
      <c r="A97" s="6">
        <v>95.0</v>
      </c>
      <c r="B97" s="50" t="s">
        <v>195</v>
      </c>
      <c r="C97" s="27" t="s">
        <v>261</v>
      </c>
      <c r="D97" s="27" t="s">
        <v>262</v>
      </c>
      <c r="E97" s="27" t="s">
        <v>263</v>
      </c>
      <c r="F97" s="53"/>
      <c r="G97" s="54"/>
      <c r="H97" s="55"/>
      <c r="I97" s="56"/>
      <c r="J97" s="57"/>
      <c r="K97" s="57"/>
      <c r="L97" s="5"/>
      <c r="M97" s="5"/>
    </row>
    <row r="98">
      <c r="A98" s="6">
        <v>96.0</v>
      </c>
      <c r="B98" s="50" t="s">
        <v>195</v>
      </c>
      <c r="C98" s="27" t="s">
        <v>264</v>
      </c>
      <c r="D98" s="27" t="s">
        <v>265</v>
      </c>
      <c r="E98" s="27" t="s">
        <v>266</v>
      </c>
      <c r="F98" s="53"/>
      <c r="G98" s="54"/>
      <c r="H98" s="55"/>
      <c r="I98" s="56"/>
      <c r="J98" s="57"/>
      <c r="K98" s="57"/>
      <c r="L98" s="5"/>
      <c r="M98" s="5"/>
    </row>
    <row r="99">
      <c r="A99" s="6">
        <v>97.0</v>
      </c>
      <c r="B99" s="50" t="s">
        <v>195</v>
      </c>
      <c r="C99" s="27" t="s">
        <v>267</v>
      </c>
      <c r="D99" s="27" t="s">
        <v>268</v>
      </c>
      <c r="E99" s="27" t="s">
        <v>269</v>
      </c>
      <c r="F99" s="53"/>
      <c r="G99" s="54"/>
      <c r="H99" s="55"/>
      <c r="I99" s="56"/>
      <c r="J99" s="57"/>
      <c r="K99" s="57"/>
      <c r="L99" s="5"/>
      <c r="M99" s="5"/>
    </row>
    <row r="100">
      <c r="A100" s="6">
        <v>98.0</v>
      </c>
      <c r="B100" s="50" t="s">
        <v>195</v>
      </c>
      <c r="C100" s="27" t="s">
        <v>270</v>
      </c>
      <c r="D100" s="27" t="s">
        <v>271</v>
      </c>
      <c r="E100" s="27" t="s">
        <v>272</v>
      </c>
      <c r="F100" s="53"/>
      <c r="G100" s="54"/>
      <c r="H100" s="55"/>
      <c r="I100" s="56"/>
      <c r="J100" s="57"/>
      <c r="K100" s="57"/>
      <c r="L100" s="5"/>
      <c r="M100" s="5"/>
    </row>
    <row r="101">
      <c r="A101" s="6">
        <v>99.0</v>
      </c>
      <c r="B101" s="50" t="s">
        <v>195</v>
      </c>
      <c r="C101" s="62"/>
      <c r="D101" s="50" t="s">
        <v>273</v>
      </c>
      <c r="E101" s="50"/>
      <c r="F101" s="53">
        <v>1.0</v>
      </c>
      <c r="G101" s="54" t="s">
        <v>204</v>
      </c>
      <c r="H101" s="55" t="s">
        <v>199</v>
      </c>
      <c r="I101" s="56"/>
      <c r="J101" s="57"/>
      <c r="K101" s="57"/>
      <c r="L101" s="5"/>
      <c r="M101" s="5"/>
    </row>
    <row r="102">
      <c r="A102" s="6">
        <v>100.0</v>
      </c>
      <c r="B102" s="50" t="s">
        <v>195</v>
      </c>
      <c r="C102" s="62"/>
      <c r="D102" s="50" t="s">
        <v>274</v>
      </c>
      <c r="E102" s="50"/>
      <c r="F102" s="53">
        <v>1.0</v>
      </c>
      <c r="G102" s="54" t="s">
        <v>204</v>
      </c>
      <c r="H102" s="55" t="s">
        <v>199</v>
      </c>
      <c r="I102" s="56"/>
      <c r="J102" s="57"/>
      <c r="K102" s="57"/>
      <c r="L102" s="5"/>
      <c r="M102" s="5"/>
    </row>
    <row r="103">
      <c r="A103" s="6">
        <v>101.0</v>
      </c>
      <c r="B103" s="50" t="s">
        <v>195</v>
      </c>
      <c r="C103" s="60" t="s">
        <v>275</v>
      </c>
      <c r="D103" s="50" t="s">
        <v>276</v>
      </c>
      <c r="E103" s="50" t="s">
        <v>277</v>
      </c>
      <c r="F103" s="53">
        <v>1.0</v>
      </c>
      <c r="G103" s="54" t="s">
        <v>204</v>
      </c>
      <c r="H103" s="55" t="s">
        <v>199</v>
      </c>
      <c r="I103" s="56"/>
      <c r="J103" s="57"/>
      <c r="K103" s="57"/>
      <c r="L103" s="5"/>
      <c r="M103" s="5"/>
    </row>
    <row r="104">
      <c r="A104" s="6">
        <v>102.0</v>
      </c>
      <c r="B104" s="50" t="s">
        <v>195</v>
      </c>
      <c r="C104" s="60" t="s">
        <v>278</v>
      </c>
      <c r="D104" s="50" t="s">
        <v>279</v>
      </c>
      <c r="E104" s="50" t="s">
        <v>280</v>
      </c>
      <c r="F104" s="53">
        <v>1.0</v>
      </c>
      <c r="G104" s="54" t="s">
        <v>204</v>
      </c>
      <c r="H104" s="55" t="s">
        <v>199</v>
      </c>
      <c r="I104" s="56"/>
      <c r="J104" s="57"/>
      <c r="K104" s="57"/>
      <c r="L104" s="5"/>
      <c r="M104" s="5"/>
    </row>
    <row r="105">
      <c r="A105" s="6">
        <v>103.0</v>
      </c>
      <c r="B105" s="50"/>
      <c r="C105" s="60" t="s">
        <v>281</v>
      </c>
      <c r="D105" s="50" t="s">
        <v>282</v>
      </c>
      <c r="E105" s="50"/>
      <c r="F105" s="53"/>
      <c r="G105" s="54"/>
      <c r="H105" s="55"/>
      <c r="I105" s="56"/>
      <c r="J105" s="57"/>
      <c r="K105" s="57"/>
      <c r="L105" s="5"/>
      <c r="M105" s="5"/>
    </row>
    <row r="106">
      <c r="A106" s="6">
        <v>104.0</v>
      </c>
      <c r="B106" s="50" t="s">
        <v>195</v>
      </c>
      <c r="C106" s="63" t="s">
        <v>283</v>
      </c>
      <c r="D106" s="47" t="s">
        <v>284</v>
      </c>
      <c r="E106" s="47" t="s">
        <v>285</v>
      </c>
      <c r="F106" s="53"/>
      <c r="G106" s="54" t="s">
        <v>286</v>
      </c>
      <c r="H106" s="55" t="s">
        <v>199</v>
      </c>
      <c r="I106" s="56"/>
      <c r="J106" s="57"/>
      <c r="K106" s="57"/>
      <c r="L106" s="5"/>
      <c r="M106" s="5"/>
    </row>
    <row r="107">
      <c r="A107" s="6">
        <v>105.0</v>
      </c>
      <c r="B107" s="50" t="s">
        <v>195</v>
      </c>
      <c r="C107" s="64" t="s">
        <v>287</v>
      </c>
      <c r="D107" s="45" t="s">
        <v>288</v>
      </c>
      <c r="E107" s="45" t="s">
        <v>289</v>
      </c>
      <c r="F107" s="53"/>
      <c r="G107" s="54" t="s">
        <v>286</v>
      </c>
      <c r="H107" s="55"/>
      <c r="I107" s="56"/>
      <c r="J107" s="57"/>
      <c r="K107" s="57"/>
      <c r="L107" s="5"/>
      <c r="M107" s="5"/>
    </row>
    <row r="108">
      <c r="A108" s="6">
        <v>106.0</v>
      </c>
      <c r="B108" s="50" t="s">
        <v>195</v>
      </c>
      <c r="C108" s="49" t="s">
        <v>290</v>
      </c>
      <c r="D108" s="49" t="s">
        <v>291</v>
      </c>
      <c r="E108" s="49" t="s">
        <v>292</v>
      </c>
      <c r="F108" s="53"/>
      <c r="G108" s="54"/>
      <c r="H108" s="55"/>
      <c r="I108" s="56"/>
      <c r="J108" s="57"/>
      <c r="K108" s="57"/>
      <c r="L108" s="5"/>
      <c r="M108" s="5"/>
    </row>
    <row r="109">
      <c r="A109" s="6">
        <v>107.0</v>
      </c>
      <c r="B109" s="50" t="s">
        <v>195</v>
      </c>
      <c r="C109" s="62"/>
      <c r="D109" s="50" t="s">
        <v>293</v>
      </c>
      <c r="E109" s="50"/>
      <c r="F109" s="53">
        <v>1.0</v>
      </c>
      <c r="G109" s="54" t="s">
        <v>204</v>
      </c>
      <c r="H109" s="55" t="s">
        <v>199</v>
      </c>
      <c r="I109" s="56"/>
      <c r="J109" s="57"/>
      <c r="K109" s="57"/>
      <c r="L109" s="5"/>
      <c r="M109" s="5"/>
    </row>
    <row r="110">
      <c r="A110" s="6">
        <v>108.0</v>
      </c>
      <c r="B110" s="50" t="s">
        <v>195</v>
      </c>
      <c r="C110" s="60" t="s">
        <v>294</v>
      </c>
      <c r="D110" s="50" t="s">
        <v>295</v>
      </c>
      <c r="E110" s="50" t="s">
        <v>296</v>
      </c>
      <c r="F110" s="53">
        <v>1.0</v>
      </c>
      <c r="G110" s="54" t="s">
        <v>204</v>
      </c>
      <c r="H110" s="55" t="s">
        <v>199</v>
      </c>
      <c r="I110" s="56"/>
      <c r="J110" s="57"/>
      <c r="K110" s="57"/>
      <c r="L110" s="5"/>
      <c r="M110" s="5"/>
    </row>
    <row r="111">
      <c r="A111" s="6">
        <v>109.0</v>
      </c>
      <c r="B111" s="50" t="s">
        <v>195</v>
      </c>
      <c r="C111" s="62"/>
      <c r="D111" s="50" t="s">
        <v>297</v>
      </c>
      <c r="E111" s="50"/>
      <c r="F111" s="53">
        <v>1.0</v>
      </c>
      <c r="G111" s="54" t="s">
        <v>204</v>
      </c>
      <c r="H111" s="55" t="s">
        <v>199</v>
      </c>
      <c r="I111" s="56"/>
      <c r="J111" s="57"/>
      <c r="K111" s="57"/>
      <c r="L111" s="5"/>
      <c r="M111" s="5"/>
    </row>
    <row r="112">
      <c r="A112" s="6">
        <v>110.0</v>
      </c>
      <c r="B112" s="7" t="s">
        <v>195</v>
      </c>
      <c r="C112" s="46" t="s">
        <v>298</v>
      </c>
      <c r="D112" s="47" t="s">
        <v>299</v>
      </c>
      <c r="E112" s="47" t="s">
        <v>300</v>
      </c>
      <c r="F112" s="6">
        <v>89.0</v>
      </c>
      <c r="G112" s="10" t="s">
        <v>204</v>
      </c>
      <c r="H112" s="28" t="s">
        <v>199</v>
      </c>
      <c r="I112" s="12"/>
      <c r="J112" s="14"/>
      <c r="K112" s="14"/>
      <c r="L112" s="15"/>
      <c r="M112" s="15"/>
    </row>
    <row r="113">
      <c r="A113" s="6">
        <v>111.0</v>
      </c>
      <c r="B113" s="7" t="s">
        <v>195</v>
      </c>
      <c r="C113" s="44" t="s">
        <v>301</v>
      </c>
      <c r="D113" s="45" t="s">
        <v>302</v>
      </c>
      <c r="E113" s="45" t="s">
        <v>303</v>
      </c>
      <c r="F113" s="6">
        <v>91.0</v>
      </c>
      <c r="G113" s="10" t="s">
        <v>204</v>
      </c>
      <c r="H113" s="28" t="s">
        <v>199</v>
      </c>
      <c r="I113" s="12"/>
      <c r="J113" s="14"/>
      <c r="K113" s="14"/>
      <c r="L113" s="15"/>
      <c r="M113" s="15"/>
    </row>
    <row r="114">
      <c r="A114" s="6">
        <v>112.0</v>
      </c>
      <c r="B114" s="7" t="s">
        <v>195</v>
      </c>
      <c r="C114" s="46" t="s">
        <v>304</v>
      </c>
      <c r="D114" s="47" t="s">
        <v>305</v>
      </c>
      <c r="E114" s="47" t="s">
        <v>306</v>
      </c>
      <c r="F114" s="6">
        <v>45.0</v>
      </c>
      <c r="G114" s="10" t="s">
        <v>204</v>
      </c>
      <c r="H114" s="28" t="s">
        <v>199</v>
      </c>
      <c r="I114" s="12"/>
      <c r="J114" s="14"/>
      <c r="K114" s="14"/>
      <c r="L114" s="15"/>
      <c r="M114" s="15"/>
    </row>
    <row r="115">
      <c r="A115" s="6">
        <v>113.0</v>
      </c>
      <c r="B115" s="50" t="s">
        <v>195</v>
      </c>
      <c r="C115" s="65" t="s">
        <v>307</v>
      </c>
      <c r="D115" s="50" t="s">
        <v>308</v>
      </c>
      <c r="E115" s="50"/>
      <c r="F115" s="53">
        <v>1.0</v>
      </c>
      <c r="G115" s="54" t="s">
        <v>204</v>
      </c>
      <c r="H115" s="55" t="s">
        <v>309</v>
      </c>
      <c r="I115" s="56"/>
      <c r="J115" s="57"/>
      <c r="K115" s="57"/>
      <c r="L115" s="5"/>
      <c r="M115" s="5"/>
    </row>
    <row r="116">
      <c r="A116" s="6">
        <v>114.0</v>
      </c>
      <c r="B116" s="50"/>
      <c r="C116" s="60" t="s">
        <v>310</v>
      </c>
      <c r="D116" s="50" t="s">
        <v>311</v>
      </c>
      <c r="E116" s="50"/>
      <c r="F116" s="53"/>
      <c r="G116" s="54"/>
      <c r="H116" s="55"/>
      <c r="I116" s="56"/>
      <c r="J116" s="57"/>
      <c r="K116" s="57"/>
      <c r="L116" s="5"/>
      <c r="M116" s="5"/>
    </row>
    <row r="117">
      <c r="A117" s="6">
        <v>115.0</v>
      </c>
      <c r="B117" s="50" t="s">
        <v>195</v>
      </c>
      <c r="C117" s="60" t="s">
        <v>312</v>
      </c>
      <c r="D117" s="50" t="s">
        <v>313</v>
      </c>
      <c r="E117" s="50"/>
      <c r="F117" s="53">
        <v>1.0</v>
      </c>
      <c r="G117" s="54" t="s">
        <v>204</v>
      </c>
      <c r="H117" s="55" t="s">
        <v>309</v>
      </c>
      <c r="I117" s="56"/>
      <c r="J117" s="57"/>
      <c r="K117" s="57"/>
      <c r="L117" s="5"/>
      <c r="M117" s="5"/>
    </row>
    <row r="118">
      <c r="A118" s="6">
        <v>116.0</v>
      </c>
      <c r="B118" s="50" t="s">
        <v>195</v>
      </c>
      <c r="C118" s="60" t="s">
        <v>314</v>
      </c>
      <c r="D118" s="50" t="s">
        <v>315</v>
      </c>
      <c r="E118" s="50"/>
      <c r="F118" s="53">
        <v>1.0</v>
      </c>
      <c r="G118" s="54" t="s">
        <v>204</v>
      </c>
      <c r="H118" s="55" t="s">
        <v>316</v>
      </c>
      <c r="I118" s="56"/>
      <c r="J118" s="57"/>
      <c r="K118" s="57"/>
      <c r="L118" s="5"/>
      <c r="M118" s="5"/>
    </row>
    <row r="119">
      <c r="A119" s="6">
        <v>117.0</v>
      </c>
      <c r="B119" s="50" t="s">
        <v>195</v>
      </c>
      <c r="C119" s="60" t="s">
        <v>317</v>
      </c>
      <c r="D119" s="50" t="s">
        <v>318</v>
      </c>
      <c r="E119" s="50"/>
      <c r="F119" s="53"/>
      <c r="G119" s="54"/>
      <c r="H119" s="55"/>
      <c r="I119" s="56"/>
      <c r="J119" s="57"/>
      <c r="K119" s="57"/>
      <c r="L119" s="5"/>
      <c r="M119" s="5"/>
    </row>
    <row r="120">
      <c r="A120" s="6">
        <v>118.0</v>
      </c>
      <c r="B120" s="50" t="s">
        <v>195</v>
      </c>
      <c r="C120" s="60" t="s">
        <v>319</v>
      </c>
      <c r="D120" s="50" t="s">
        <v>320</v>
      </c>
      <c r="E120" s="50"/>
      <c r="F120" s="53">
        <v>1.0</v>
      </c>
      <c r="G120" s="54" t="s">
        <v>321</v>
      </c>
      <c r="H120" s="55" t="s">
        <v>44</v>
      </c>
      <c r="I120" s="56"/>
      <c r="J120" s="57"/>
      <c r="K120" s="57"/>
      <c r="L120" s="5"/>
      <c r="M120" s="5"/>
    </row>
    <row r="121">
      <c r="A121" s="6">
        <v>119.0</v>
      </c>
      <c r="B121" s="50" t="s">
        <v>195</v>
      </c>
      <c r="C121" s="60" t="s">
        <v>322</v>
      </c>
      <c r="D121" s="50" t="s">
        <v>323</v>
      </c>
      <c r="E121" s="50"/>
      <c r="F121" s="53">
        <v>1.0</v>
      </c>
      <c r="G121" s="54" t="s">
        <v>324</v>
      </c>
      <c r="H121" s="55" t="s">
        <v>105</v>
      </c>
      <c r="I121" s="56"/>
      <c r="J121" s="57"/>
      <c r="K121" s="57"/>
      <c r="L121" s="5"/>
      <c r="M121" s="5"/>
    </row>
    <row r="122">
      <c r="A122" s="6">
        <v>120.0</v>
      </c>
      <c r="B122" s="50" t="s">
        <v>195</v>
      </c>
      <c r="C122" s="60" t="s">
        <v>325</v>
      </c>
      <c r="D122" s="50" t="s">
        <v>326</v>
      </c>
      <c r="E122" s="50"/>
      <c r="F122" s="53">
        <v>1.0</v>
      </c>
      <c r="G122" s="54" t="s">
        <v>327</v>
      </c>
      <c r="H122" s="55" t="s">
        <v>316</v>
      </c>
      <c r="I122" s="56"/>
      <c r="J122" s="57"/>
      <c r="K122" s="57"/>
      <c r="L122" s="5"/>
      <c r="M122" s="5"/>
    </row>
    <row r="123">
      <c r="A123" s="6">
        <v>121.0</v>
      </c>
      <c r="B123" s="50" t="s">
        <v>195</v>
      </c>
      <c r="C123" s="60" t="s">
        <v>328</v>
      </c>
      <c r="D123" s="50" t="s">
        <v>329</v>
      </c>
      <c r="E123" s="50"/>
      <c r="F123" s="53">
        <v>1.0</v>
      </c>
      <c r="G123" s="54" t="s">
        <v>330</v>
      </c>
      <c r="H123" s="55" t="s">
        <v>316</v>
      </c>
      <c r="I123" s="56"/>
      <c r="J123" s="57"/>
      <c r="K123" s="57"/>
      <c r="L123" s="5"/>
      <c r="M123" s="5"/>
    </row>
    <row r="124">
      <c r="A124" s="6">
        <v>122.0</v>
      </c>
      <c r="B124" s="50"/>
      <c r="C124" s="60" t="s">
        <v>331</v>
      </c>
      <c r="D124" s="50" t="s">
        <v>332</v>
      </c>
      <c r="E124" s="50"/>
      <c r="F124" s="53"/>
      <c r="G124" s="54"/>
      <c r="H124" s="55"/>
      <c r="I124" s="56"/>
      <c r="J124" s="57"/>
      <c r="K124" s="57"/>
      <c r="L124" s="5"/>
      <c r="M124" s="5"/>
    </row>
    <row r="125">
      <c r="A125" s="6">
        <v>123.0</v>
      </c>
      <c r="B125" s="50"/>
      <c r="C125" s="40" t="s">
        <v>333</v>
      </c>
      <c r="D125" s="52" t="s">
        <v>334</v>
      </c>
      <c r="E125" s="52"/>
      <c r="F125" s="53"/>
      <c r="G125" s="54"/>
      <c r="H125" s="55"/>
      <c r="I125" s="56"/>
      <c r="J125" s="57"/>
      <c r="K125" s="57"/>
      <c r="L125" s="5"/>
      <c r="M125" s="5"/>
    </row>
    <row r="126">
      <c r="A126" s="6">
        <v>124.0</v>
      </c>
      <c r="B126" s="50"/>
      <c r="C126" s="40" t="s">
        <v>335</v>
      </c>
      <c r="D126" s="27" t="s">
        <v>336</v>
      </c>
      <c r="E126" s="27"/>
      <c r="F126" s="53"/>
      <c r="G126" s="54"/>
      <c r="H126" s="55"/>
      <c r="I126" s="56"/>
      <c r="J126" s="57"/>
      <c r="K126" s="57"/>
      <c r="L126" s="5"/>
      <c r="M126" s="5"/>
    </row>
    <row r="127">
      <c r="A127" s="6">
        <v>125.0</v>
      </c>
      <c r="B127" s="50"/>
      <c r="C127" s="40" t="s">
        <v>337</v>
      </c>
      <c r="D127" s="52" t="s">
        <v>338</v>
      </c>
      <c r="E127" s="52"/>
      <c r="F127" s="53"/>
      <c r="G127" s="54"/>
      <c r="H127" s="55"/>
      <c r="I127" s="56"/>
      <c r="J127" s="57"/>
      <c r="K127" s="57"/>
      <c r="L127" s="5"/>
      <c r="M127" s="5"/>
    </row>
    <row r="128">
      <c r="A128" s="6">
        <v>126.0</v>
      </c>
      <c r="B128" s="50"/>
      <c r="C128" s="40" t="s">
        <v>339</v>
      </c>
      <c r="D128" s="27" t="s">
        <v>340</v>
      </c>
      <c r="E128" s="27"/>
      <c r="F128" s="53"/>
      <c r="G128" s="54"/>
      <c r="H128" s="55"/>
      <c r="I128" s="56"/>
      <c r="J128" s="57"/>
      <c r="K128" s="57"/>
      <c r="L128" s="5"/>
      <c r="M128" s="5"/>
    </row>
    <row r="129">
      <c r="A129" s="6">
        <v>127.0</v>
      </c>
      <c r="B129" s="50"/>
      <c r="C129" s="40"/>
      <c r="D129" s="27"/>
      <c r="E129" s="27"/>
      <c r="F129" s="53"/>
      <c r="G129" s="54"/>
      <c r="H129" s="55"/>
      <c r="I129" s="56"/>
      <c r="J129" s="57"/>
      <c r="K129" s="57"/>
      <c r="L129" s="5"/>
      <c r="M129" s="5"/>
    </row>
    <row r="130">
      <c r="A130" s="6">
        <v>128.0</v>
      </c>
      <c r="B130" s="50"/>
      <c r="C130" s="40"/>
      <c r="D130" s="27"/>
      <c r="E130" s="27"/>
      <c r="F130" s="53"/>
      <c r="G130" s="54"/>
      <c r="H130" s="55"/>
      <c r="I130" s="56"/>
      <c r="J130" s="57"/>
      <c r="K130" s="57"/>
      <c r="L130" s="5"/>
      <c r="M130" s="5"/>
    </row>
    <row r="131">
      <c r="A131" s="6">
        <v>129.0</v>
      </c>
      <c r="B131" s="50" t="s">
        <v>195</v>
      </c>
      <c r="C131" s="62"/>
      <c r="D131" s="50" t="s">
        <v>341</v>
      </c>
      <c r="E131" s="50"/>
      <c r="F131" s="53">
        <v>1.0</v>
      </c>
      <c r="G131" s="54" t="s">
        <v>330</v>
      </c>
      <c r="H131" s="55" t="s">
        <v>316</v>
      </c>
      <c r="I131" s="56"/>
      <c r="J131" s="57"/>
      <c r="K131" s="57"/>
      <c r="L131" s="5"/>
      <c r="M131" s="5"/>
    </row>
    <row r="132">
      <c r="A132" s="6">
        <v>130.0</v>
      </c>
      <c r="B132" s="50" t="s">
        <v>195</v>
      </c>
      <c r="C132" s="62"/>
      <c r="D132" s="50" t="s">
        <v>342</v>
      </c>
      <c r="E132" s="50"/>
      <c r="F132" s="53">
        <v>1.0</v>
      </c>
      <c r="G132" s="54" t="s">
        <v>175</v>
      </c>
      <c r="H132" s="55" t="s">
        <v>44</v>
      </c>
      <c r="I132" s="56"/>
      <c r="J132" s="57"/>
      <c r="K132" s="57"/>
      <c r="L132" s="5"/>
      <c r="M132" s="5"/>
    </row>
    <row r="133">
      <c r="A133" s="6">
        <v>131.0</v>
      </c>
      <c r="B133" s="50" t="s">
        <v>195</v>
      </c>
      <c r="C133" s="62"/>
      <c r="D133" s="50" t="s">
        <v>343</v>
      </c>
      <c r="E133" s="50"/>
      <c r="F133" s="53">
        <v>1.0</v>
      </c>
      <c r="G133" s="54" t="s">
        <v>204</v>
      </c>
      <c r="H133" s="55" t="s">
        <v>316</v>
      </c>
      <c r="I133" s="56"/>
      <c r="J133" s="57"/>
      <c r="K133" s="57"/>
      <c r="L133" s="5"/>
      <c r="M133" s="5"/>
    </row>
    <row r="134">
      <c r="A134" s="6">
        <v>132.0</v>
      </c>
      <c r="B134" s="50" t="s">
        <v>195</v>
      </c>
      <c r="C134" s="62"/>
      <c r="D134" s="50" t="s">
        <v>343</v>
      </c>
      <c r="E134" s="50"/>
      <c r="F134" s="53">
        <v>1.0</v>
      </c>
      <c r="G134" s="54" t="s">
        <v>204</v>
      </c>
      <c r="H134" s="55" t="s">
        <v>316</v>
      </c>
      <c r="I134" s="56"/>
      <c r="J134" s="57"/>
      <c r="K134" s="57"/>
      <c r="L134" s="5"/>
      <c r="M134" s="5"/>
    </row>
    <row r="135">
      <c r="A135" s="6">
        <v>133.0</v>
      </c>
      <c r="B135" s="50" t="s">
        <v>195</v>
      </c>
      <c r="C135" s="62"/>
      <c r="D135" s="50" t="s">
        <v>344</v>
      </c>
      <c r="E135" s="50"/>
      <c r="F135" s="53">
        <v>1.0</v>
      </c>
      <c r="G135" s="54" t="s">
        <v>204</v>
      </c>
      <c r="H135" s="55" t="s">
        <v>316</v>
      </c>
      <c r="I135" s="56"/>
      <c r="J135" s="57"/>
      <c r="K135" s="57"/>
      <c r="L135" s="5"/>
      <c r="M135" s="5"/>
    </row>
    <row r="136">
      <c r="A136" s="6">
        <v>134.0</v>
      </c>
      <c r="B136" s="50" t="s">
        <v>195</v>
      </c>
      <c r="C136" s="62"/>
      <c r="D136" s="50" t="s">
        <v>345</v>
      </c>
      <c r="E136" s="50"/>
      <c r="F136" s="53">
        <v>1.0</v>
      </c>
      <c r="G136" s="54" t="s">
        <v>324</v>
      </c>
      <c r="H136" s="55" t="s">
        <v>44</v>
      </c>
      <c r="I136" s="56"/>
      <c r="J136" s="57"/>
      <c r="K136" s="57"/>
      <c r="L136" s="5"/>
      <c r="M136" s="5"/>
    </row>
    <row r="137">
      <c r="A137" s="6">
        <v>135.0</v>
      </c>
      <c r="B137" s="50" t="s">
        <v>195</v>
      </c>
      <c r="C137" s="60" t="s">
        <v>346</v>
      </c>
      <c r="D137" s="50" t="s">
        <v>347</v>
      </c>
      <c r="E137" s="50" t="s">
        <v>348</v>
      </c>
      <c r="F137" s="53">
        <v>1.0</v>
      </c>
      <c r="G137" s="54" t="s">
        <v>210</v>
      </c>
      <c r="H137" s="55" t="s">
        <v>199</v>
      </c>
      <c r="I137" s="56"/>
      <c r="J137" s="57"/>
      <c r="K137" s="57"/>
      <c r="L137" s="5"/>
      <c r="M137" s="5"/>
    </row>
    <row r="138">
      <c r="A138" s="6">
        <v>136.0</v>
      </c>
      <c r="B138" s="50"/>
      <c r="C138" s="60" t="s">
        <v>349</v>
      </c>
      <c r="D138" s="50" t="s">
        <v>350</v>
      </c>
      <c r="E138" s="50" t="s">
        <v>351</v>
      </c>
      <c r="F138" s="53"/>
      <c r="G138" s="54"/>
      <c r="H138" s="55"/>
      <c r="I138" s="56"/>
      <c r="J138" s="57"/>
      <c r="K138" s="57"/>
      <c r="L138" s="5"/>
      <c r="M138" s="5"/>
    </row>
    <row r="139">
      <c r="A139" s="6">
        <v>137.0</v>
      </c>
      <c r="B139" s="50" t="s">
        <v>195</v>
      </c>
      <c r="C139" s="62"/>
      <c r="D139" s="50" t="s">
        <v>352</v>
      </c>
      <c r="E139" s="50"/>
      <c r="F139" s="53">
        <v>1.0</v>
      </c>
      <c r="G139" s="54" t="s">
        <v>204</v>
      </c>
      <c r="H139" s="55" t="s">
        <v>105</v>
      </c>
      <c r="I139" s="56"/>
      <c r="J139" s="57"/>
      <c r="K139" s="57"/>
      <c r="L139" s="5"/>
      <c r="M139" s="5"/>
    </row>
    <row r="140">
      <c r="A140" s="6">
        <v>138.0</v>
      </c>
      <c r="B140" s="50" t="s">
        <v>195</v>
      </c>
      <c r="C140" s="62"/>
      <c r="D140" s="50" t="s">
        <v>353</v>
      </c>
      <c r="E140" s="50"/>
      <c r="F140" s="53">
        <v>1.0</v>
      </c>
      <c r="G140" s="54" t="s">
        <v>204</v>
      </c>
      <c r="H140" s="55" t="s">
        <v>199</v>
      </c>
      <c r="I140" s="56"/>
      <c r="J140" s="57"/>
      <c r="K140" s="57"/>
      <c r="L140" s="5"/>
      <c r="M140" s="5"/>
    </row>
    <row r="141">
      <c r="A141" s="6">
        <v>139.0</v>
      </c>
      <c r="B141" s="50" t="s">
        <v>195</v>
      </c>
      <c r="C141" s="62"/>
      <c r="D141" s="50" t="s">
        <v>354</v>
      </c>
      <c r="E141" s="50"/>
      <c r="F141" s="53">
        <v>1.0</v>
      </c>
      <c r="G141" s="54" t="s">
        <v>204</v>
      </c>
      <c r="H141" s="55" t="s">
        <v>199</v>
      </c>
      <c r="I141" s="56"/>
      <c r="J141" s="57"/>
      <c r="K141" s="57"/>
      <c r="L141" s="5"/>
      <c r="M141" s="5"/>
    </row>
    <row r="142">
      <c r="A142" s="6">
        <v>140.0</v>
      </c>
      <c r="B142" s="50" t="s">
        <v>195</v>
      </c>
      <c r="C142" s="62"/>
      <c r="D142" s="50" t="s">
        <v>355</v>
      </c>
      <c r="E142" s="50"/>
      <c r="F142" s="53">
        <v>1.0</v>
      </c>
      <c r="G142" s="54" t="s">
        <v>204</v>
      </c>
      <c r="H142" s="55" t="s">
        <v>199</v>
      </c>
      <c r="I142" s="56"/>
      <c r="J142" s="57"/>
      <c r="K142" s="57"/>
      <c r="L142" s="5"/>
      <c r="M142" s="5"/>
    </row>
    <row r="143">
      <c r="A143" s="6">
        <v>141.0</v>
      </c>
      <c r="B143" s="50" t="s">
        <v>195</v>
      </c>
      <c r="C143" s="62"/>
      <c r="D143" s="50" t="s">
        <v>356</v>
      </c>
      <c r="E143" s="50"/>
      <c r="F143" s="53">
        <v>1.0</v>
      </c>
      <c r="G143" s="54" t="s">
        <v>204</v>
      </c>
      <c r="H143" s="55" t="s">
        <v>199</v>
      </c>
      <c r="I143" s="56"/>
      <c r="J143" s="57"/>
      <c r="K143" s="57"/>
      <c r="L143" s="5"/>
      <c r="M143" s="5"/>
    </row>
    <row r="144">
      <c r="A144" s="6">
        <v>142.0</v>
      </c>
      <c r="B144" s="50"/>
      <c r="C144" s="58" t="s">
        <v>357</v>
      </c>
      <c r="D144" s="50" t="s">
        <v>358</v>
      </c>
      <c r="E144" s="50"/>
      <c r="F144" s="53"/>
      <c r="G144" s="54"/>
      <c r="H144" s="55"/>
      <c r="I144" s="56"/>
      <c r="J144" s="57"/>
      <c r="K144" s="57"/>
      <c r="L144" s="5"/>
      <c r="M144" s="5"/>
    </row>
    <row r="145">
      <c r="A145" s="6">
        <v>143.0</v>
      </c>
      <c r="B145" s="50"/>
      <c r="C145" s="26" t="s">
        <v>359</v>
      </c>
      <c r="D145" s="50" t="s">
        <v>360</v>
      </c>
      <c r="E145" s="50"/>
      <c r="F145" s="53"/>
      <c r="G145" s="54"/>
      <c r="H145" s="55"/>
      <c r="I145" s="56"/>
      <c r="J145" s="57"/>
      <c r="K145" s="57"/>
      <c r="L145" s="5"/>
      <c r="M145" s="5"/>
    </row>
    <row r="146">
      <c r="A146" s="6">
        <v>144.0</v>
      </c>
      <c r="B146" s="50"/>
      <c r="C146" s="26" t="s">
        <v>361</v>
      </c>
      <c r="D146" s="27" t="s">
        <v>362</v>
      </c>
      <c r="E146" s="27" t="s">
        <v>363</v>
      </c>
      <c r="F146" s="53"/>
      <c r="G146" s="54"/>
      <c r="H146" s="55"/>
      <c r="I146" s="56"/>
      <c r="J146" s="57"/>
      <c r="K146" s="57"/>
      <c r="L146" s="5"/>
      <c r="M146" s="5"/>
    </row>
    <row r="147">
      <c r="A147" s="6">
        <v>145.0</v>
      </c>
      <c r="B147" s="50"/>
      <c r="C147" s="26" t="s">
        <v>364</v>
      </c>
      <c r="D147" s="27" t="s">
        <v>365</v>
      </c>
      <c r="E147" s="27" t="s">
        <v>366</v>
      </c>
      <c r="F147" s="53"/>
      <c r="G147" s="54"/>
      <c r="H147" s="55"/>
      <c r="I147" s="56"/>
      <c r="J147" s="57"/>
      <c r="K147" s="57"/>
      <c r="L147" s="5"/>
      <c r="M147" s="5"/>
    </row>
    <row r="148">
      <c r="A148" s="6">
        <v>146.0</v>
      </c>
      <c r="B148" s="50"/>
      <c r="C148" s="26" t="s">
        <v>367</v>
      </c>
      <c r="D148" s="27" t="s">
        <v>368</v>
      </c>
      <c r="E148" s="27" t="s">
        <v>369</v>
      </c>
      <c r="F148" s="53"/>
      <c r="G148" s="54"/>
      <c r="H148" s="55"/>
      <c r="I148" s="56"/>
      <c r="J148" s="57"/>
      <c r="K148" s="57"/>
      <c r="L148" s="5"/>
      <c r="M148" s="5"/>
    </row>
    <row r="149">
      <c r="A149" s="6">
        <v>147.0</v>
      </c>
      <c r="B149" s="50"/>
      <c r="C149" s="26" t="s">
        <v>370</v>
      </c>
      <c r="D149" s="27" t="s">
        <v>371</v>
      </c>
      <c r="E149" s="27" t="s">
        <v>372</v>
      </c>
      <c r="F149" s="53"/>
      <c r="G149" s="54"/>
      <c r="H149" s="55"/>
      <c r="I149" s="56"/>
      <c r="J149" s="57"/>
      <c r="K149" s="57"/>
      <c r="L149" s="5"/>
      <c r="M149" s="5"/>
    </row>
    <row r="150">
      <c r="A150" s="6">
        <v>148.0</v>
      </c>
      <c r="B150" s="50"/>
      <c r="C150" s="26" t="s">
        <v>373</v>
      </c>
      <c r="D150" s="27" t="s">
        <v>374</v>
      </c>
      <c r="E150" s="27" t="s">
        <v>375</v>
      </c>
      <c r="F150" s="53"/>
      <c r="G150" s="54"/>
      <c r="H150" s="55"/>
      <c r="I150" s="56"/>
      <c r="J150" s="57"/>
      <c r="K150" s="57"/>
      <c r="L150" s="5"/>
      <c r="M150" s="5"/>
    </row>
    <row r="151">
      <c r="A151" s="6">
        <v>149.0</v>
      </c>
      <c r="B151" s="50"/>
      <c r="C151" s="26" t="s">
        <v>376</v>
      </c>
      <c r="D151" s="27" t="s">
        <v>377</v>
      </c>
      <c r="E151" s="27" t="s">
        <v>378</v>
      </c>
      <c r="F151" s="53"/>
      <c r="G151" s="54"/>
      <c r="H151" s="55"/>
      <c r="I151" s="56"/>
      <c r="J151" s="57"/>
      <c r="K151" s="57"/>
      <c r="L151" s="5"/>
      <c r="M151" s="5"/>
    </row>
    <row r="152">
      <c r="A152" s="6">
        <v>150.0</v>
      </c>
      <c r="B152" s="50"/>
      <c r="C152" s="26" t="s">
        <v>379</v>
      </c>
      <c r="D152" s="27" t="s">
        <v>380</v>
      </c>
      <c r="E152" s="27" t="s">
        <v>381</v>
      </c>
      <c r="F152" s="53"/>
      <c r="G152" s="54"/>
      <c r="H152" s="55"/>
      <c r="I152" s="56"/>
      <c r="J152" s="57"/>
      <c r="K152" s="57"/>
      <c r="L152" s="5"/>
      <c r="M152" s="5"/>
    </row>
    <row r="153">
      <c r="A153" s="6">
        <v>151.0</v>
      </c>
      <c r="B153" s="50"/>
      <c r="C153" s="26" t="s">
        <v>382</v>
      </c>
      <c r="D153" s="27" t="s">
        <v>383</v>
      </c>
      <c r="E153" s="27" t="s">
        <v>384</v>
      </c>
      <c r="F153" s="53"/>
      <c r="G153" s="54"/>
      <c r="H153" s="55"/>
      <c r="I153" s="56"/>
      <c r="J153" s="57"/>
      <c r="K153" s="57"/>
      <c r="L153" s="5"/>
      <c r="M153" s="5"/>
    </row>
    <row r="154">
      <c r="A154" s="6">
        <v>152.0</v>
      </c>
      <c r="B154" s="50"/>
      <c r="C154" s="26" t="s">
        <v>385</v>
      </c>
      <c r="D154" s="27" t="s">
        <v>386</v>
      </c>
      <c r="E154" s="27" t="s">
        <v>387</v>
      </c>
      <c r="F154" s="53"/>
      <c r="G154" s="54"/>
      <c r="H154" s="55"/>
      <c r="I154" s="56"/>
      <c r="J154" s="57"/>
      <c r="K154" s="57"/>
      <c r="L154" s="5"/>
      <c r="M154" s="5"/>
    </row>
    <row r="155">
      <c r="A155" s="6">
        <v>153.0</v>
      </c>
      <c r="B155" s="50"/>
      <c r="C155" s="26" t="s">
        <v>388</v>
      </c>
      <c r="D155" s="27" t="s">
        <v>389</v>
      </c>
      <c r="E155" s="27" t="s">
        <v>390</v>
      </c>
      <c r="F155" s="53"/>
      <c r="G155" s="54"/>
      <c r="H155" s="55"/>
      <c r="I155" s="56"/>
      <c r="J155" s="57"/>
      <c r="K155" s="57"/>
      <c r="L155" s="5"/>
      <c r="M155" s="5"/>
    </row>
    <row r="156">
      <c r="A156" s="6">
        <v>154.0</v>
      </c>
      <c r="B156" s="7" t="s">
        <v>391</v>
      </c>
      <c r="C156" s="43"/>
      <c r="D156" s="7" t="s">
        <v>392</v>
      </c>
      <c r="E156" s="7"/>
      <c r="F156" s="6">
        <v>1.0</v>
      </c>
      <c r="G156" s="10" t="s">
        <v>393</v>
      </c>
      <c r="H156" s="28" t="s">
        <v>44</v>
      </c>
      <c r="I156" s="66"/>
      <c r="J156" s="66"/>
      <c r="K156" s="66"/>
      <c r="L156" s="5"/>
      <c r="M156" s="5"/>
    </row>
    <row r="157">
      <c r="A157" s="6">
        <v>155.0</v>
      </c>
      <c r="B157" s="7" t="s">
        <v>391</v>
      </c>
      <c r="C157" s="43"/>
      <c r="D157" s="7" t="s">
        <v>394</v>
      </c>
      <c r="E157" s="7"/>
      <c r="F157" s="6">
        <v>1.0</v>
      </c>
      <c r="G157" s="10" t="s">
        <v>393</v>
      </c>
      <c r="H157" s="28" t="s">
        <v>395</v>
      </c>
      <c r="I157" s="66"/>
      <c r="J157" s="66"/>
      <c r="K157" s="66"/>
      <c r="L157" s="5"/>
      <c r="M157" s="5"/>
    </row>
    <row r="158">
      <c r="A158" s="6">
        <v>156.0</v>
      </c>
      <c r="B158" s="7" t="s">
        <v>391</v>
      </c>
      <c r="C158" s="8" t="s">
        <v>396</v>
      </c>
      <c r="D158" s="7" t="s">
        <v>397</v>
      </c>
      <c r="E158" s="7" t="s">
        <v>398</v>
      </c>
      <c r="F158" s="6">
        <v>1.0</v>
      </c>
      <c r="G158" s="10" t="s">
        <v>393</v>
      </c>
      <c r="H158" s="11" t="s">
        <v>17</v>
      </c>
      <c r="I158" s="12"/>
      <c r="J158" s="43"/>
      <c r="K158" s="43"/>
      <c r="L158" s="5"/>
      <c r="M158" s="5"/>
    </row>
    <row r="159">
      <c r="A159" s="6">
        <v>157.0</v>
      </c>
      <c r="B159" s="7" t="s">
        <v>391</v>
      </c>
      <c r="C159" s="26" t="s">
        <v>399</v>
      </c>
      <c r="D159" s="27" t="s">
        <v>400</v>
      </c>
      <c r="E159" s="27"/>
      <c r="F159" s="6">
        <v>1.0</v>
      </c>
      <c r="G159" s="10" t="s">
        <v>393</v>
      </c>
      <c r="H159" s="11" t="s">
        <v>17</v>
      </c>
      <c r="I159" s="66"/>
      <c r="J159" s="66"/>
      <c r="K159" s="66"/>
      <c r="L159" s="5"/>
      <c r="M159" s="5"/>
    </row>
    <row r="160">
      <c r="A160" s="6">
        <v>158.0</v>
      </c>
      <c r="B160" s="7"/>
      <c r="C160" s="26" t="s">
        <v>401</v>
      </c>
      <c r="D160" s="27" t="s">
        <v>402</v>
      </c>
      <c r="E160" s="27"/>
      <c r="F160" s="6"/>
      <c r="G160" s="10"/>
      <c r="H160" s="11"/>
      <c r="I160" s="66"/>
      <c r="J160" s="66"/>
      <c r="K160" s="66"/>
      <c r="L160" s="5"/>
      <c r="M160" s="5"/>
    </row>
    <row r="161">
      <c r="A161" s="6">
        <v>159.0</v>
      </c>
      <c r="B161" s="7" t="s">
        <v>391</v>
      </c>
      <c r="C161" s="43"/>
      <c r="D161" s="7" t="s">
        <v>403</v>
      </c>
      <c r="E161" s="7"/>
      <c r="F161" s="6">
        <v>1.0</v>
      </c>
      <c r="G161" s="10" t="s">
        <v>393</v>
      </c>
      <c r="H161" s="11" t="s">
        <v>17</v>
      </c>
      <c r="I161" s="66"/>
      <c r="J161" s="66"/>
      <c r="K161" s="66"/>
      <c r="L161" s="5"/>
      <c r="M161" s="5"/>
    </row>
    <row r="162">
      <c r="A162" s="6">
        <v>160.0</v>
      </c>
      <c r="B162" s="7" t="s">
        <v>391</v>
      </c>
      <c r="C162" s="43"/>
      <c r="D162" s="7" t="s">
        <v>404</v>
      </c>
      <c r="E162" s="27" t="s">
        <v>374</v>
      </c>
      <c r="F162" s="6">
        <v>1.0</v>
      </c>
      <c r="G162" s="10" t="s">
        <v>393</v>
      </c>
      <c r="H162" s="11" t="s">
        <v>17</v>
      </c>
      <c r="I162" s="66"/>
      <c r="J162" s="66"/>
      <c r="K162" s="66"/>
      <c r="L162" s="5"/>
      <c r="M162" s="5"/>
    </row>
    <row r="163">
      <c r="A163" s="6">
        <v>161.0</v>
      </c>
      <c r="B163" s="7" t="s">
        <v>391</v>
      </c>
      <c r="C163" s="43"/>
      <c r="D163" s="7" t="s">
        <v>405</v>
      </c>
      <c r="E163" s="27" t="s">
        <v>377</v>
      </c>
      <c r="F163" s="6">
        <v>1.0</v>
      </c>
      <c r="G163" s="10" t="s">
        <v>393</v>
      </c>
      <c r="H163" s="11" t="s">
        <v>17</v>
      </c>
      <c r="I163" s="66"/>
      <c r="J163" s="66"/>
      <c r="K163" s="66"/>
      <c r="L163" s="5"/>
      <c r="M163" s="5"/>
    </row>
    <row r="164">
      <c r="A164" s="6">
        <v>162.0</v>
      </c>
      <c r="B164" s="7" t="s">
        <v>391</v>
      </c>
      <c r="C164" s="43"/>
      <c r="D164" s="7" t="s">
        <v>406</v>
      </c>
      <c r="E164" s="7"/>
      <c r="F164" s="6">
        <v>1.0</v>
      </c>
      <c r="G164" s="10" t="s">
        <v>393</v>
      </c>
      <c r="H164" s="11" t="s">
        <v>17</v>
      </c>
      <c r="I164" s="66"/>
      <c r="J164" s="66"/>
      <c r="K164" s="66"/>
      <c r="L164" s="5"/>
      <c r="M164" s="5"/>
    </row>
    <row r="165">
      <c r="A165" s="6">
        <v>163.0</v>
      </c>
      <c r="B165" s="7" t="s">
        <v>391</v>
      </c>
      <c r="C165" s="43"/>
      <c r="D165" s="7" t="s">
        <v>407</v>
      </c>
      <c r="E165" s="7"/>
      <c r="F165" s="6">
        <v>1.0</v>
      </c>
      <c r="G165" s="10" t="s">
        <v>393</v>
      </c>
      <c r="H165" s="11" t="s">
        <v>17</v>
      </c>
      <c r="I165" s="66"/>
      <c r="J165" s="66"/>
      <c r="K165" s="66"/>
      <c r="L165" s="5"/>
      <c r="M165" s="5"/>
    </row>
    <row r="166">
      <c r="A166" s="6">
        <v>164.0</v>
      </c>
      <c r="B166" s="7"/>
      <c r="C166" s="8" t="s">
        <v>408</v>
      </c>
      <c r="D166" s="7" t="s">
        <v>409</v>
      </c>
      <c r="E166" s="7" t="s">
        <v>410</v>
      </c>
      <c r="F166" s="6"/>
      <c r="G166" s="10"/>
      <c r="H166" s="11"/>
      <c r="I166" s="66"/>
      <c r="J166" s="66"/>
      <c r="K166" s="66"/>
      <c r="L166" s="5"/>
      <c r="M166" s="5"/>
    </row>
    <row r="167">
      <c r="A167" s="6">
        <v>165.0</v>
      </c>
      <c r="B167" s="7" t="s">
        <v>391</v>
      </c>
      <c r="C167" s="43"/>
      <c r="D167" s="7" t="s">
        <v>411</v>
      </c>
      <c r="E167" s="7"/>
      <c r="F167" s="6">
        <v>1.0</v>
      </c>
      <c r="G167" s="10" t="s">
        <v>393</v>
      </c>
      <c r="H167" s="11" t="s">
        <v>17</v>
      </c>
      <c r="I167" s="66"/>
      <c r="J167" s="66"/>
      <c r="K167" s="66"/>
      <c r="L167" s="5"/>
      <c r="M167" s="5"/>
    </row>
    <row r="168">
      <c r="A168" s="6">
        <v>166.0</v>
      </c>
      <c r="B168" s="7" t="s">
        <v>391</v>
      </c>
      <c r="C168" s="43"/>
      <c r="D168" s="7" t="s">
        <v>412</v>
      </c>
      <c r="E168" s="7"/>
      <c r="F168" s="6">
        <v>1.0</v>
      </c>
      <c r="G168" s="10" t="s">
        <v>393</v>
      </c>
      <c r="H168" s="11" t="s">
        <v>17</v>
      </c>
      <c r="I168" s="66"/>
      <c r="J168" s="66"/>
      <c r="K168" s="66"/>
      <c r="L168" s="5"/>
      <c r="M168" s="5"/>
    </row>
    <row r="169">
      <c r="A169" s="6">
        <v>167.0</v>
      </c>
      <c r="B169" s="7" t="s">
        <v>391</v>
      </c>
      <c r="C169" s="43"/>
      <c r="D169" s="7" t="s">
        <v>413</v>
      </c>
      <c r="E169" s="7"/>
      <c r="F169" s="6">
        <v>1.0</v>
      </c>
      <c r="G169" s="10" t="s">
        <v>393</v>
      </c>
      <c r="H169" s="28" t="s">
        <v>44</v>
      </c>
      <c r="I169" s="22" t="s">
        <v>414</v>
      </c>
      <c r="J169" s="67" t="s">
        <v>415</v>
      </c>
      <c r="K169" s="66"/>
      <c r="L169" s="5"/>
      <c r="M169" s="5"/>
    </row>
    <row r="170">
      <c r="A170" s="6">
        <v>168.0</v>
      </c>
      <c r="B170" s="68" t="s">
        <v>416</v>
      </c>
      <c r="C170" s="69"/>
      <c r="D170" s="68" t="s">
        <v>417</v>
      </c>
      <c r="E170" s="68"/>
      <c r="F170" s="70">
        <v>1.0</v>
      </c>
      <c r="G170" s="71" t="s">
        <v>393</v>
      </c>
      <c r="H170" s="72" t="s">
        <v>44</v>
      </c>
      <c r="I170" s="73"/>
      <c r="J170" s="73"/>
      <c r="K170" s="73"/>
      <c r="L170" s="5"/>
      <c r="M170" s="5"/>
    </row>
    <row r="171">
      <c r="A171" s="6">
        <v>169.0</v>
      </c>
      <c r="B171" s="68" t="s">
        <v>416</v>
      </c>
      <c r="C171" s="69"/>
      <c r="D171" s="68" t="s">
        <v>418</v>
      </c>
      <c r="E171" s="68"/>
      <c r="F171" s="70">
        <v>1.0</v>
      </c>
      <c r="G171" s="71" t="s">
        <v>393</v>
      </c>
      <c r="H171" s="72" t="s">
        <v>44</v>
      </c>
      <c r="I171" s="73"/>
      <c r="J171" s="73"/>
      <c r="K171" s="73"/>
      <c r="L171" s="5"/>
      <c r="M171" s="5"/>
    </row>
    <row r="172">
      <c r="A172" s="6">
        <v>170.0</v>
      </c>
      <c r="B172" s="68" t="s">
        <v>416</v>
      </c>
      <c r="C172" s="69"/>
      <c r="D172" s="68" t="s">
        <v>419</v>
      </c>
      <c r="E172" s="68"/>
      <c r="F172" s="70">
        <v>1.0</v>
      </c>
      <c r="G172" s="71" t="s">
        <v>393</v>
      </c>
      <c r="H172" s="72" t="s">
        <v>44</v>
      </c>
      <c r="I172" s="73"/>
      <c r="J172" s="73"/>
      <c r="K172" s="73"/>
      <c r="L172" s="5"/>
      <c r="M172" s="5"/>
    </row>
    <row r="173">
      <c r="A173" s="6">
        <v>171.0</v>
      </c>
      <c r="B173" s="68" t="s">
        <v>416</v>
      </c>
      <c r="C173" s="69"/>
      <c r="D173" s="68" t="s">
        <v>420</v>
      </c>
      <c r="E173" s="68"/>
      <c r="F173" s="70">
        <v>1.0</v>
      </c>
      <c r="G173" s="71" t="s">
        <v>393</v>
      </c>
      <c r="H173" s="74" t="s">
        <v>17</v>
      </c>
      <c r="I173" s="73"/>
      <c r="J173" s="73"/>
      <c r="K173" s="73"/>
      <c r="L173" s="5"/>
      <c r="M173" s="5"/>
    </row>
    <row r="174">
      <c r="A174" s="6">
        <v>172.0</v>
      </c>
      <c r="B174" s="68" t="s">
        <v>416</v>
      </c>
      <c r="C174" s="69"/>
      <c r="D174" s="68" t="s">
        <v>421</v>
      </c>
      <c r="E174" s="68"/>
      <c r="F174" s="70">
        <v>1.0</v>
      </c>
      <c r="G174" s="71" t="s">
        <v>393</v>
      </c>
      <c r="H174" s="74" t="s">
        <v>17</v>
      </c>
      <c r="I174" s="73"/>
      <c r="J174" s="73"/>
      <c r="K174" s="73"/>
      <c r="L174" s="5"/>
      <c r="M174" s="5"/>
    </row>
    <row r="175">
      <c r="A175" s="6">
        <v>173.0</v>
      </c>
      <c r="B175" s="68" t="s">
        <v>416</v>
      </c>
      <c r="C175" s="69"/>
      <c r="D175" s="68" t="s">
        <v>422</v>
      </c>
      <c r="E175" s="68"/>
      <c r="F175" s="70">
        <v>1.0</v>
      </c>
      <c r="G175" s="71" t="s">
        <v>393</v>
      </c>
      <c r="H175" s="74" t="s">
        <v>17</v>
      </c>
      <c r="I175" s="73"/>
      <c r="J175" s="73"/>
      <c r="K175" s="73"/>
      <c r="L175" s="5"/>
      <c r="M175" s="5"/>
    </row>
    <row r="176">
      <c r="A176" s="6">
        <v>174.0</v>
      </c>
      <c r="B176" s="68" t="s">
        <v>416</v>
      </c>
      <c r="C176" s="69"/>
      <c r="D176" s="68" t="s">
        <v>423</v>
      </c>
      <c r="E176" s="68"/>
      <c r="F176" s="70">
        <v>1.0</v>
      </c>
      <c r="G176" s="71" t="s">
        <v>393</v>
      </c>
      <c r="H176" s="74" t="s">
        <v>17</v>
      </c>
      <c r="I176" s="73"/>
      <c r="J176" s="73"/>
      <c r="K176" s="73"/>
      <c r="L176" s="5"/>
      <c r="M176" s="5"/>
    </row>
    <row r="177">
      <c r="A177" s="6">
        <v>175.0</v>
      </c>
      <c r="B177" s="68"/>
      <c r="C177" s="75" t="s">
        <v>424</v>
      </c>
      <c r="D177" s="68" t="s">
        <v>425</v>
      </c>
      <c r="E177" s="76" t="s">
        <v>426</v>
      </c>
      <c r="F177" s="70"/>
      <c r="G177" s="71"/>
      <c r="H177" s="74"/>
      <c r="I177" s="73"/>
      <c r="J177" s="73"/>
      <c r="K177" s="73"/>
      <c r="L177" s="5"/>
      <c r="M177" s="5"/>
    </row>
    <row r="178">
      <c r="A178" s="6">
        <v>176.0</v>
      </c>
      <c r="B178" s="77"/>
      <c r="C178" s="49" t="s">
        <v>427</v>
      </c>
      <c r="D178" s="78" t="s">
        <v>428</v>
      </c>
      <c r="E178" s="9" t="s">
        <v>429</v>
      </c>
      <c r="F178" s="77"/>
      <c r="G178" s="77"/>
      <c r="H178" s="77"/>
      <c r="I178" s="77"/>
      <c r="J178" s="77"/>
      <c r="K178" s="77"/>
    </row>
    <row r="179">
      <c r="A179" s="6">
        <v>177.0</v>
      </c>
      <c r="B179" s="77"/>
      <c r="C179" s="64" t="s">
        <v>430</v>
      </c>
      <c r="D179" s="79" t="s">
        <v>431</v>
      </c>
      <c r="E179" s="79" t="s">
        <v>432</v>
      </c>
      <c r="F179" s="77"/>
      <c r="G179" s="77"/>
      <c r="H179" s="77"/>
      <c r="I179" s="77"/>
      <c r="J179" s="77"/>
      <c r="K179" s="77"/>
    </row>
    <row r="180">
      <c r="A180" s="6">
        <v>178.0</v>
      </c>
      <c r="B180" s="77"/>
      <c r="C180" s="63" t="s">
        <v>433</v>
      </c>
      <c r="D180" s="79" t="s">
        <v>434</v>
      </c>
      <c r="E180" s="79" t="s">
        <v>435</v>
      </c>
      <c r="F180" s="77"/>
      <c r="G180" s="77"/>
      <c r="H180" s="77"/>
      <c r="I180" s="77"/>
      <c r="J180" s="77"/>
      <c r="K180" s="77"/>
    </row>
    <row r="181">
      <c r="A181" s="6">
        <v>179.0</v>
      </c>
      <c r="B181" s="77"/>
      <c r="C181" s="64" t="s">
        <v>436</v>
      </c>
      <c r="D181" s="79" t="s">
        <v>437</v>
      </c>
      <c r="E181" s="79" t="s">
        <v>438</v>
      </c>
      <c r="F181" s="77"/>
      <c r="G181" s="77"/>
      <c r="H181" s="77"/>
      <c r="I181" s="77"/>
      <c r="J181" s="77"/>
      <c r="K181" s="77"/>
    </row>
    <row r="182">
      <c r="A182" s="6">
        <v>180.0</v>
      </c>
      <c r="B182" s="77"/>
      <c r="C182" s="49" t="s">
        <v>439</v>
      </c>
      <c r="D182" s="78" t="s">
        <v>440</v>
      </c>
      <c r="E182" s="9" t="s">
        <v>441</v>
      </c>
      <c r="F182" s="77"/>
      <c r="G182" s="77"/>
      <c r="H182" s="77"/>
      <c r="I182" s="77"/>
      <c r="J182" s="77"/>
      <c r="K182" s="77"/>
    </row>
    <row r="183">
      <c r="A183" s="6">
        <v>181.0</v>
      </c>
      <c r="B183" s="77"/>
      <c r="C183" s="49" t="s">
        <v>442</v>
      </c>
      <c r="D183" s="80" t="s">
        <v>443</v>
      </c>
      <c r="E183" s="80"/>
      <c r="F183" s="77"/>
      <c r="G183" s="77"/>
      <c r="H183" s="77"/>
      <c r="I183" s="77"/>
      <c r="J183" s="77"/>
      <c r="K183" s="77"/>
    </row>
    <row r="184">
      <c r="A184" s="6">
        <v>182.0</v>
      </c>
      <c r="B184" s="77"/>
      <c r="C184" s="39" t="s">
        <v>444</v>
      </c>
      <c r="D184" s="81" t="s">
        <v>445</v>
      </c>
      <c r="E184" s="82" t="s">
        <v>446</v>
      </c>
      <c r="F184" s="77"/>
      <c r="G184" s="77"/>
      <c r="H184" s="77"/>
      <c r="I184" s="77"/>
      <c r="J184" s="77"/>
      <c r="K184" s="77"/>
    </row>
    <row r="185">
      <c r="A185" s="6">
        <v>183.0</v>
      </c>
      <c r="B185" s="77"/>
      <c r="C185" s="39" t="s">
        <v>447</v>
      </c>
      <c r="D185" s="81" t="s">
        <v>448</v>
      </c>
      <c r="E185" s="82" t="s">
        <v>449</v>
      </c>
      <c r="F185" s="77"/>
      <c r="G185" s="77"/>
      <c r="H185" s="77"/>
      <c r="I185" s="77"/>
      <c r="J185" s="77"/>
      <c r="K185" s="77"/>
    </row>
    <row r="186">
      <c r="A186" s="6">
        <v>184.0</v>
      </c>
      <c r="B186" s="77"/>
      <c r="C186" s="39" t="s">
        <v>450</v>
      </c>
      <c r="D186" s="81" t="s">
        <v>451</v>
      </c>
      <c r="E186" s="9" t="s">
        <v>452</v>
      </c>
      <c r="F186" s="77"/>
      <c r="G186" s="77"/>
      <c r="H186" s="77"/>
      <c r="I186" s="77"/>
      <c r="J186" s="77"/>
      <c r="K186" s="77"/>
    </row>
    <row r="187">
      <c r="A187" s="6">
        <v>185.0</v>
      </c>
      <c r="B187" s="77"/>
      <c r="C187" s="39" t="s">
        <v>453</v>
      </c>
      <c r="D187" s="39" t="s">
        <v>454</v>
      </c>
      <c r="E187" s="39" t="s">
        <v>455</v>
      </c>
      <c r="F187" s="77"/>
      <c r="G187" s="77"/>
      <c r="H187" s="77"/>
      <c r="I187" s="77"/>
      <c r="J187" s="77"/>
      <c r="K187" s="77"/>
    </row>
    <row r="188">
      <c r="A188" s="6">
        <v>186.0</v>
      </c>
      <c r="B188" s="77"/>
      <c r="C188" s="39" t="s">
        <v>456</v>
      </c>
      <c r="D188" s="27" t="s">
        <v>457</v>
      </c>
      <c r="E188" s="40" t="s">
        <v>458</v>
      </c>
      <c r="F188" s="77"/>
      <c r="G188" s="77"/>
      <c r="H188" s="77"/>
      <c r="I188" s="77"/>
      <c r="J188" s="77"/>
      <c r="K188" s="77"/>
    </row>
    <row r="189">
      <c r="A189" s="6">
        <v>187.0</v>
      </c>
      <c r="B189" s="77"/>
      <c r="C189" s="39" t="s">
        <v>459</v>
      </c>
      <c r="D189" s="39" t="s">
        <v>460</v>
      </c>
      <c r="E189" s="39" t="s">
        <v>461</v>
      </c>
      <c r="F189" s="77"/>
      <c r="G189" s="77"/>
      <c r="H189" s="77"/>
      <c r="I189" s="77"/>
      <c r="J189" s="77"/>
      <c r="K189" s="77"/>
    </row>
    <row r="190">
      <c r="A190" s="6">
        <v>188.0</v>
      </c>
      <c r="B190" s="77"/>
      <c r="C190" s="39" t="s">
        <v>462</v>
      </c>
      <c r="D190" s="26" t="s">
        <v>463</v>
      </c>
      <c r="E190" s="61" t="s">
        <v>464</v>
      </c>
      <c r="F190" s="77"/>
      <c r="G190" s="77"/>
      <c r="H190" s="77"/>
      <c r="I190" s="77"/>
      <c r="J190" s="77"/>
      <c r="K190" s="77"/>
    </row>
    <row r="191">
      <c r="A191" s="6">
        <v>189.0</v>
      </c>
      <c r="B191" s="77"/>
      <c r="C191" s="39" t="s">
        <v>465</v>
      </c>
      <c r="D191" s="81" t="s">
        <v>466</v>
      </c>
      <c r="E191" s="81" t="s">
        <v>467</v>
      </c>
      <c r="F191" s="77"/>
      <c r="G191" s="77"/>
      <c r="H191" s="77"/>
      <c r="I191" s="77"/>
      <c r="J191" s="77"/>
      <c r="K191" s="77"/>
    </row>
    <row r="192">
      <c r="A192" s="6">
        <v>190.0</v>
      </c>
      <c r="B192" s="77"/>
      <c r="C192" s="39" t="s">
        <v>468</v>
      </c>
      <c r="D192" s="81" t="s">
        <v>469</v>
      </c>
      <c r="E192" s="81" t="s">
        <v>470</v>
      </c>
      <c r="F192" s="77"/>
      <c r="G192" s="77"/>
      <c r="H192" s="77"/>
      <c r="I192" s="77"/>
      <c r="J192" s="77"/>
      <c r="K192" s="77"/>
    </row>
    <row r="193">
      <c r="A193" s="6">
        <v>191.0</v>
      </c>
      <c r="B193" s="77"/>
      <c r="C193" s="39" t="s">
        <v>471</v>
      </c>
      <c r="D193" s="81" t="s">
        <v>472</v>
      </c>
      <c r="E193" s="83" t="s">
        <v>473</v>
      </c>
      <c r="F193" s="77"/>
      <c r="G193" s="77"/>
      <c r="H193" s="77"/>
      <c r="I193" s="77"/>
      <c r="J193" s="77"/>
      <c r="K193" s="77"/>
    </row>
    <row r="194">
      <c r="A194" s="6">
        <v>192.0</v>
      </c>
      <c r="B194" s="77"/>
      <c r="C194" s="39" t="s">
        <v>474</v>
      </c>
      <c r="D194" s="81" t="s">
        <v>475</v>
      </c>
      <c r="E194" s="83" t="s">
        <v>476</v>
      </c>
      <c r="F194" s="77"/>
      <c r="G194" s="77"/>
      <c r="H194" s="77"/>
      <c r="I194" s="77"/>
      <c r="J194" s="77"/>
      <c r="K194" s="77"/>
    </row>
    <row r="195">
      <c r="A195" s="6">
        <v>193.0</v>
      </c>
      <c r="B195" s="77"/>
      <c r="C195" s="39" t="s">
        <v>477</v>
      </c>
      <c r="D195" s="81" t="s">
        <v>478</v>
      </c>
      <c r="E195" s="83" t="s">
        <v>479</v>
      </c>
      <c r="F195" s="77"/>
      <c r="G195" s="77"/>
      <c r="H195" s="77"/>
      <c r="I195" s="77"/>
      <c r="J195" s="77"/>
      <c r="K195" s="77"/>
    </row>
    <row r="196">
      <c r="A196" s="6">
        <v>194.0</v>
      </c>
      <c r="B196" s="77"/>
      <c r="C196" s="39" t="s">
        <v>480</v>
      </c>
      <c r="D196" s="26" t="s">
        <v>481</v>
      </c>
      <c r="E196" s="26"/>
      <c r="F196" s="77"/>
      <c r="G196" s="77"/>
      <c r="H196" s="77"/>
      <c r="I196" s="77"/>
      <c r="J196" s="77"/>
      <c r="K196" s="77"/>
    </row>
    <row r="197">
      <c r="A197" s="6">
        <v>195.0</v>
      </c>
      <c r="B197" s="77"/>
      <c r="C197" s="39" t="s">
        <v>482</v>
      </c>
      <c r="D197" s="58" t="s">
        <v>483</v>
      </c>
      <c r="E197" s="58"/>
      <c r="F197" s="77"/>
      <c r="G197" s="77"/>
      <c r="H197" s="77"/>
      <c r="I197" s="77"/>
      <c r="J197" s="77"/>
      <c r="K197" s="77"/>
    </row>
    <row r="198">
      <c r="A198" s="6">
        <v>196.0</v>
      </c>
      <c r="B198" s="77"/>
      <c r="C198" s="84" t="s">
        <v>484</v>
      </c>
      <c r="D198" s="85" t="s">
        <v>485</v>
      </c>
      <c r="E198" s="85"/>
      <c r="F198" s="77"/>
      <c r="G198" s="77"/>
      <c r="H198" s="77"/>
      <c r="I198" s="77"/>
      <c r="J198" s="77"/>
      <c r="K198" s="77"/>
    </row>
    <row r="199">
      <c r="A199" s="6">
        <v>197.0</v>
      </c>
      <c r="B199" s="77"/>
      <c r="C199" s="39" t="s">
        <v>486</v>
      </c>
      <c r="D199" s="58" t="s">
        <v>487</v>
      </c>
      <c r="E199" s="58"/>
      <c r="F199" s="77"/>
      <c r="G199" s="77"/>
      <c r="H199" s="77"/>
      <c r="I199" s="77"/>
      <c r="J199" s="77"/>
      <c r="K199" s="77"/>
    </row>
    <row r="200">
      <c r="A200" s="6">
        <v>198.0</v>
      </c>
      <c r="B200" s="77"/>
      <c r="C200" s="39" t="s">
        <v>486</v>
      </c>
      <c r="D200" s="26" t="s">
        <v>488</v>
      </c>
      <c r="E200" s="26"/>
      <c r="F200" s="77"/>
      <c r="G200" s="77"/>
      <c r="H200" s="77"/>
      <c r="I200" s="77"/>
      <c r="J200" s="77"/>
      <c r="K200" s="77"/>
    </row>
    <row r="201">
      <c r="A201" s="6">
        <v>199.0</v>
      </c>
      <c r="B201" s="77"/>
      <c r="C201" s="86" t="s">
        <v>489</v>
      </c>
      <c r="D201" s="26" t="s">
        <v>490</v>
      </c>
      <c r="E201" s="26"/>
      <c r="F201" s="77"/>
      <c r="G201" s="77"/>
      <c r="H201" s="77"/>
      <c r="I201" s="77"/>
      <c r="J201" s="77"/>
      <c r="K201" s="77"/>
    </row>
    <row r="202">
      <c r="A202" s="6">
        <v>200.0</v>
      </c>
      <c r="B202" s="77"/>
      <c r="C202" s="39" t="s">
        <v>491</v>
      </c>
      <c r="D202" s="58" t="s">
        <v>492</v>
      </c>
      <c r="E202" s="58"/>
      <c r="F202" s="77"/>
      <c r="G202" s="77"/>
      <c r="H202" s="77"/>
      <c r="I202" s="77"/>
      <c r="J202" s="77"/>
      <c r="K202" s="77"/>
    </row>
    <row r="203">
      <c r="A203" s="6">
        <v>201.0</v>
      </c>
      <c r="B203" s="77"/>
      <c r="C203" s="39" t="s">
        <v>493</v>
      </c>
      <c r="D203" s="26" t="s">
        <v>494</v>
      </c>
      <c r="E203" s="26"/>
      <c r="F203" s="77"/>
      <c r="G203" s="77"/>
      <c r="H203" s="77"/>
      <c r="I203" s="77"/>
      <c r="J203" s="77"/>
      <c r="K203" s="77"/>
    </row>
    <row r="204">
      <c r="A204" s="6">
        <v>202.0</v>
      </c>
      <c r="B204" s="77"/>
      <c r="C204" s="39" t="s">
        <v>495</v>
      </c>
      <c r="D204" s="58" t="s">
        <v>496</v>
      </c>
      <c r="E204" s="58"/>
      <c r="F204" s="77"/>
      <c r="G204" s="77"/>
      <c r="H204" s="77"/>
      <c r="I204" s="77"/>
      <c r="J204" s="77"/>
      <c r="K204" s="77"/>
    </row>
    <row r="205">
      <c r="A205" s="6">
        <v>203.0</v>
      </c>
      <c r="B205" s="77"/>
      <c r="C205" s="86" t="s">
        <v>497</v>
      </c>
      <c r="D205" s="26" t="s">
        <v>498</v>
      </c>
      <c r="E205" s="61" t="s">
        <v>499</v>
      </c>
      <c r="F205" s="77"/>
      <c r="G205" s="77"/>
      <c r="H205" s="77"/>
      <c r="I205" s="77"/>
      <c r="J205" s="77"/>
      <c r="K205" s="77"/>
    </row>
    <row r="206">
      <c r="A206" s="6">
        <v>204.0</v>
      </c>
      <c r="B206" s="77"/>
      <c r="C206" s="39" t="s">
        <v>500</v>
      </c>
      <c r="D206" s="58" t="s">
        <v>501</v>
      </c>
      <c r="E206" s="58"/>
      <c r="F206" s="77"/>
      <c r="G206" s="77"/>
      <c r="H206" s="77"/>
      <c r="I206" s="77"/>
      <c r="J206" s="77"/>
      <c r="K206" s="77"/>
    </row>
    <row r="207">
      <c r="A207" s="6">
        <v>205.0</v>
      </c>
      <c r="B207" s="77"/>
      <c r="C207" s="39" t="s">
        <v>502</v>
      </c>
      <c r="D207" s="26" t="s">
        <v>503</v>
      </c>
      <c r="E207" s="26"/>
      <c r="F207" s="77"/>
      <c r="G207" s="77"/>
      <c r="H207" s="77"/>
      <c r="I207" s="77"/>
      <c r="J207" s="77"/>
      <c r="K207" s="77"/>
    </row>
    <row r="208">
      <c r="A208" s="6">
        <v>206.0</v>
      </c>
      <c r="B208" s="77"/>
      <c r="C208" s="84" t="s">
        <v>504</v>
      </c>
      <c r="D208" s="49" t="s">
        <v>505</v>
      </c>
      <c r="E208" s="49"/>
      <c r="F208" s="77"/>
      <c r="G208" s="77"/>
      <c r="H208" s="77"/>
      <c r="I208" s="77"/>
      <c r="J208" s="77"/>
      <c r="K208" s="77"/>
    </row>
    <row r="209">
      <c r="A209" s="6">
        <v>207.0</v>
      </c>
      <c r="B209" s="77"/>
      <c r="C209" s="84" t="s">
        <v>506</v>
      </c>
      <c r="D209" s="49" t="s">
        <v>507</v>
      </c>
      <c r="E209" s="49"/>
      <c r="F209" s="77"/>
      <c r="G209" s="77"/>
      <c r="H209" s="77"/>
      <c r="I209" s="77"/>
      <c r="J209" s="77"/>
      <c r="K209" s="77"/>
    </row>
    <row r="210">
      <c r="A210" s="6">
        <v>208.0</v>
      </c>
      <c r="B210" s="77"/>
      <c r="C210" s="84" t="s">
        <v>508</v>
      </c>
      <c r="D210" s="49" t="s">
        <v>509</v>
      </c>
      <c r="E210" s="49"/>
      <c r="F210" s="77"/>
      <c r="G210" s="77"/>
      <c r="H210" s="77"/>
      <c r="I210" s="77"/>
      <c r="J210" s="77"/>
      <c r="K210" s="77"/>
    </row>
    <row r="211">
      <c r="A211" s="6">
        <v>209.0</v>
      </c>
      <c r="B211" s="77"/>
      <c r="C211" s="39" t="s">
        <v>510</v>
      </c>
      <c r="D211" s="26" t="s">
        <v>511</v>
      </c>
      <c r="E211" s="87" t="s">
        <v>512</v>
      </c>
      <c r="F211" s="77"/>
      <c r="G211" s="77"/>
      <c r="H211" s="77"/>
      <c r="I211" s="77"/>
      <c r="J211" s="77"/>
      <c r="K211" s="77"/>
    </row>
    <row r="212">
      <c r="A212" s="6">
        <v>210.0</v>
      </c>
      <c r="B212" s="77"/>
      <c r="C212" s="39" t="s">
        <v>513</v>
      </c>
      <c r="D212" s="58" t="s">
        <v>514</v>
      </c>
      <c r="E212" s="88" t="s">
        <v>515</v>
      </c>
      <c r="F212" s="77"/>
      <c r="G212" s="77"/>
      <c r="H212" s="77"/>
      <c r="I212" s="77"/>
      <c r="J212" s="77"/>
      <c r="K212" s="77"/>
    </row>
    <row r="213">
      <c r="A213" s="6">
        <v>211.0</v>
      </c>
      <c r="B213" s="77"/>
      <c r="C213" s="84" t="s">
        <v>516</v>
      </c>
      <c r="D213" s="85" t="s">
        <v>517</v>
      </c>
      <c r="E213" s="85"/>
      <c r="F213" s="77"/>
      <c r="G213" s="77"/>
      <c r="H213" s="77"/>
      <c r="I213" s="77"/>
      <c r="J213" s="77"/>
      <c r="K213" s="77"/>
    </row>
    <row r="214">
      <c r="A214" s="6">
        <v>212.0</v>
      </c>
      <c r="B214" s="77"/>
      <c r="C214" s="84" t="s">
        <v>518</v>
      </c>
      <c r="D214" s="85" t="s">
        <v>519</v>
      </c>
      <c r="E214" s="85"/>
      <c r="F214" s="77"/>
      <c r="G214" s="77"/>
      <c r="H214" s="77"/>
      <c r="I214" s="77"/>
      <c r="J214" s="77"/>
      <c r="K214" s="77"/>
    </row>
    <row r="215">
      <c r="A215" s="6">
        <v>213.0</v>
      </c>
      <c r="B215" s="77"/>
      <c r="C215" s="26" t="s">
        <v>520</v>
      </c>
      <c r="D215" s="26" t="s">
        <v>521</v>
      </c>
      <c r="E215" s="26"/>
      <c r="F215" s="77"/>
      <c r="G215" s="77"/>
      <c r="H215" s="77"/>
      <c r="I215" s="77"/>
      <c r="J215" s="77"/>
      <c r="K215" s="77"/>
    </row>
    <row r="216">
      <c r="A216" s="6">
        <v>214.0</v>
      </c>
      <c r="B216" s="77"/>
      <c r="C216" s="58" t="s">
        <v>522</v>
      </c>
      <c r="D216" s="58" t="s">
        <v>523</v>
      </c>
      <c r="E216" s="58"/>
      <c r="F216" s="77"/>
      <c r="G216" s="77"/>
      <c r="H216" s="77"/>
      <c r="I216" s="77"/>
      <c r="J216" s="77"/>
      <c r="K216" s="77"/>
    </row>
    <row r="217">
      <c r="A217" s="6">
        <v>215.0</v>
      </c>
      <c r="B217" s="77"/>
      <c r="C217" s="85" t="s">
        <v>524</v>
      </c>
      <c r="D217" s="85" t="s">
        <v>525</v>
      </c>
      <c r="E217" s="85"/>
      <c r="F217" s="77"/>
      <c r="G217" s="77"/>
      <c r="H217" s="77"/>
      <c r="I217" s="77"/>
      <c r="J217" s="77"/>
      <c r="K217" s="77"/>
    </row>
    <row r="218">
      <c r="A218" s="6">
        <v>216.0</v>
      </c>
      <c r="B218" s="77"/>
      <c r="C218" s="26" t="s">
        <v>526</v>
      </c>
      <c r="D218" s="26" t="s">
        <v>527</v>
      </c>
      <c r="E218" s="26"/>
      <c r="F218" s="77"/>
      <c r="G218" s="77"/>
      <c r="H218" s="77"/>
      <c r="I218" s="77"/>
      <c r="J218" s="77"/>
      <c r="K218" s="77"/>
    </row>
    <row r="219">
      <c r="A219" s="6">
        <v>217.0</v>
      </c>
      <c r="B219" s="77"/>
      <c r="C219" s="58" t="s">
        <v>528</v>
      </c>
      <c r="D219" s="58" t="s">
        <v>529</v>
      </c>
      <c r="E219" s="58"/>
      <c r="F219" s="77"/>
      <c r="G219" s="77"/>
      <c r="H219" s="77"/>
      <c r="I219" s="77"/>
      <c r="J219" s="77"/>
      <c r="K219" s="77"/>
    </row>
    <row r="220">
      <c r="A220" s="6">
        <v>218.0</v>
      </c>
      <c r="B220" s="77"/>
      <c r="C220" s="26" t="s">
        <v>530</v>
      </c>
      <c r="D220" s="26" t="s">
        <v>531</v>
      </c>
      <c r="E220" s="26"/>
      <c r="F220" s="77"/>
      <c r="G220" s="77"/>
      <c r="H220" s="77"/>
      <c r="I220" s="77"/>
      <c r="J220" s="77"/>
      <c r="K220" s="77"/>
    </row>
    <row r="221">
      <c r="A221" s="6">
        <v>219.0</v>
      </c>
      <c r="B221" s="77"/>
      <c r="C221" s="58" t="s">
        <v>532</v>
      </c>
      <c r="D221" s="58" t="s">
        <v>533</v>
      </c>
      <c r="E221" s="58"/>
      <c r="F221" s="77"/>
      <c r="G221" s="77"/>
      <c r="H221" s="77"/>
      <c r="I221" s="77"/>
      <c r="J221" s="77"/>
      <c r="K221" s="77"/>
    </row>
    <row r="222">
      <c r="A222" s="6">
        <v>220.0</v>
      </c>
      <c r="B222" s="77"/>
      <c r="C222" s="26" t="s">
        <v>534</v>
      </c>
      <c r="D222" s="26" t="s">
        <v>535</v>
      </c>
      <c r="E222" s="26"/>
      <c r="F222" s="77"/>
      <c r="G222" s="77"/>
      <c r="H222" s="77"/>
      <c r="I222" s="77"/>
      <c r="J222" s="77"/>
      <c r="K222" s="77"/>
    </row>
    <row r="223">
      <c r="A223" s="6">
        <v>221.0</v>
      </c>
      <c r="B223" s="77"/>
      <c r="C223" s="58" t="s">
        <v>536</v>
      </c>
      <c r="D223" s="58" t="s">
        <v>537</v>
      </c>
      <c r="E223" s="58"/>
      <c r="F223" s="77"/>
      <c r="G223" s="77"/>
      <c r="H223" s="77"/>
      <c r="I223" s="77"/>
      <c r="J223" s="77"/>
      <c r="K223" s="77"/>
    </row>
    <row r="224">
      <c r="A224" s="6">
        <v>222.0</v>
      </c>
      <c r="B224" s="77"/>
      <c r="C224" s="26" t="s">
        <v>538</v>
      </c>
      <c r="D224" s="26" t="s">
        <v>539</v>
      </c>
      <c r="E224" s="26"/>
      <c r="F224" s="77"/>
      <c r="G224" s="77"/>
      <c r="H224" s="77"/>
      <c r="I224" s="77"/>
      <c r="J224" s="77"/>
      <c r="K224" s="77"/>
    </row>
    <row r="225">
      <c r="A225" s="6">
        <v>223.0</v>
      </c>
      <c r="B225" s="77"/>
      <c r="C225" s="49" t="s">
        <v>540</v>
      </c>
      <c r="D225" s="49" t="s">
        <v>541</v>
      </c>
      <c r="E225" s="49" t="s">
        <v>542</v>
      </c>
      <c r="F225" s="77"/>
      <c r="G225" s="77"/>
      <c r="H225" s="77"/>
      <c r="I225" s="77"/>
      <c r="J225" s="77"/>
      <c r="K225" s="77"/>
    </row>
    <row r="226">
      <c r="A226" s="6">
        <v>224.0</v>
      </c>
      <c r="B226" s="77"/>
      <c r="C226" s="49" t="s">
        <v>543</v>
      </c>
      <c r="D226" s="49" t="s">
        <v>544</v>
      </c>
      <c r="E226" s="49" t="s">
        <v>545</v>
      </c>
      <c r="F226" s="77"/>
      <c r="G226" s="77"/>
      <c r="H226" s="77"/>
      <c r="I226" s="77"/>
      <c r="J226" s="77"/>
      <c r="K226" s="77"/>
    </row>
    <row r="227">
      <c r="A227" s="6">
        <v>225.0</v>
      </c>
      <c r="B227" s="77"/>
      <c r="C227" s="49" t="s">
        <v>546</v>
      </c>
      <c r="D227" s="49" t="s">
        <v>547</v>
      </c>
      <c r="E227" s="49" t="s">
        <v>548</v>
      </c>
      <c r="F227" s="77"/>
      <c r="G227" s="77"/>
      <c r="H227" s="77"/>
      <c r="I227" s="77"/>
      <c r="J227" s="77"/>
      <c r="K227" s="77"/>
    </row>
    <row r="228">
      <c r="A228" s="6">
        <v>226.0</v>
      </c>
      <c r="B228" s="77"/>
      <c r="C228" s="49" t="s">
        <v>549</v>
      </c>
      <c r="D228" s="49" t="s">
        <v>550</v>
      </c>
      <c r="E228" s="49" t="s">
        <v>551</v>
      </c>
      <c r="F228" s="77"/>
      <c r="G228" s="77"/>
      <c r="H228" s="77"/>
      <c r="I228" s="77"/>
      <c r="J228" s="77"/>
      <c r="K228" s="77"/>
    </row>
    <row r="229">
      <c r="A229" s="6">
        <v>227.0</v>
      </c>
      <c r="B229" s="77"/>
      <c r="C229" s="49" t="s">
        <v>552</v>
      </c>
      <c r="D229" s="49" t="s">
        <v>553</v>
      </c>
      <c r="E229" s="49"/>
      <c r="F229" s="77"/>
      <c r="G229" s="77"/>
      <c r="H229" s="77"/>
      <c r="I229" s="77"/>
      <c r="J229" s="77"/>
      <c r="K229" s="77"/>
    </row>
    <row r="230">
      <c r="A230" s="6">
        <v>228.0</v>
      </c>
      <c r="B230" s="77"/>
      <c r="C230" s="26" t="s">
        <v>196</v>
      </c>
      <c r="D230" s="26" t="s">
        <v>197</v>
      </c>
      <c r="E230" s="26"/>
      <c r="F230" s="77"/>
      <c r="G230" s="77"/>
      <c r="H230" s="77"/>
      <c r="I230" s="77"/>
      <c r="J230" s="77"/>
      <c r="K230" s="77"/>
    </row>
    <row r="231">
      <c r="A231" s="6">
        <v>229.0</v>
      </c>
      <c r="B231" s="77"/>
      <c r="C231" s="58" t="s">
        <v>200</v>
      </c>
      <c r="D231" s="58" t="s">
        <v>201</v>
      </c>
      <c r="E231" s="58"/>
      <c r="F231" s="77"/>
      <c r="G231" s="77"/>
      <c r="H231" s="77"/>
      <c r="I231" s="77"/>
      <c r="J231" s="77"/>
      <c r="K231" s="77"/>
    </row>
    <row r="232">
      <c r="A232" s="6">
        <v>230.0</v>
      </c>
      <c r="B232" s="77"/>
      <c r="C232" s="85" t="s">
        <v>554</v>
      </c>
      <c r="D232" s="85" t="s">
        <v>555</v>
      </c>
      <c r="E232" s="85" t="s">
        <v>556</v>
      </c>
      <c r="F232" s="77"/>
      <c r="G232" s="77"/>
      <c r="H232" s="77"/>
      <c r="I232" s="77"/>
      <c r="J232" s="77"/>
      <c r="K232" s="77"/>
    </row>
    <row r="233">
      <c r="A233" s="6">
        <v>231.0</v>
      </c>
      <c r="B233" s="77"/>
      <c r="C233" s="26" t="s">
        <v>557</v>
      </c>
      <c r="D233" s="26" t="s">
        <v>558</v>
      </c>
      <c r="E233" s="26"/>
      <c r="F233" s="77"/>
      <c r="G233" s="77"/>
      <c r="H233" s="77"/>
      <c r="I233" s="77"/>
      <c r="J233" s="77"/>
      <c r="K233" s="77"/>
    </row>
    <row r="234">
      <c r="A234" s="6">
        <v>232.0</v>
      </c>
      <c r="B234" s="77"/>
      <c r="C234" s="58" t="s">
        <v>559</v>
      </c>
      <c r="D234" s="58" t="s">
        <v>560</v>
      </c>
      <c r="E234" s="51" t="s">
        <v>561</v>
      </c>
      <c r="F234" s="77"/>
      <c r="G234" s="77"/>
      <c r="H234" s="77"/>
      <c r="I234" s="77"/>
      <c r="J234" s="77"/>
      <c r="K234" s="77"/>
    </row>
    <row r="235">
      <c r="A235" s="6">
        <v>233.0</v>
      </c>
      <c r="B235" s="77"/>
      <c r="C235" s="26" t="s">
        <v>562</v>
      </c>
      <c r="D235" s="26" t="s">
        <v>563</v>
      </c>
      <c r="E235" s="26"/>
      <c r="F235" s="77"/>
      <c r="G235" s="77"/>
      <c r="H235" s="77"/>
      <c r="I235" s="77"/>
      <c r="J235" s="77"/>
      <c r="K235" s="77"/>
    </row>
    <row r="236">
      <c r="A236" s="6">
        <v>234.0</v>
      </c>
      <c r="B236" s="77"/>
      <c r="C236" s="26" t="s">
        <v>564</v>
      </c>
      <c r="D236" s="26" t="s">
        <v>565</v>
      </c>
      <c r="E236" s="61" t="s">
        <v>566</v>
      </c>
      <c r="F236" s="77"/>
      <c r="G236" s="77"/>
      <c r="H236" s="77"/>
      <c r="I236" s="77"/>
      <c r="J236" s="77"/>
      <c r="K236" s="77"/>
    </row>
    <row r="237">
      <c r="A237" s="6">
        <v>235.0</v>
      </c>
      <c r="B237" s="77"/>
      <c r="C237" s="26" t="s">
        <v>567</v>
      </c>
      <c r="D237" s="26" t="s">
        <v>568</v>
      </c>
      <c r="E237" s="26"/>
      <c r="F237" s="77"/>
      <c r="G237" s="77"/>
      <c r="H237" s="77"/>
      <c r="I237" s="77"/>
      <c r="J237" s="77"/>
      <c r="K237" s="77"/>
    </row>
    <row r="238">
      <c r="A238" s="6">
        <v>236.0</v>
      </c>
      <c r="B238" s="77"/>
      <c r="C238" s="26" t="s">
        <v>569</v>
      </c>
      <c r="D238" s="26" t="s">
        <v>570</v>
      </c>
      <c r="E238" s="26"/>
      <c r="F238" s="77"/>
      <c r="G238" s="77"/>
      <c r="H238" s="77"/>
      <c r="I238" s="77"/>
      <c r="J238" s="77"/>
      <c r="K238" s="77"/>
    </row>
    <row r="239">
      <c r="A239" s="6">
        <v>237.0</v>
      </c>
      <c r="B239" s="77"/>
      <c r="C239" s="26" t="s">
        <v>571</v>
      </c>
      <c r="D239" s="26" t="s">
        <v>572</v>
      </c>
      <c r="E239" s="26"/>
      <c r="F239" s="77"/>
      <c r="G239" s="77"/>
      <c r="H239" s="77"/>
      <c r="I239" s="77"/>
      <c r="J239" s="77"/>
      <c r="K239" s="77"/>
    </row>
    <row r="240">
      <c r="A240" s="6">
        <v>238.0</v>
      </c>
      <c r="B240" s="77"/>
      <c r="C240" s="49" t="s">
        <v>573</v>
      </c>
      <c r="D240" s="49" t="s">
        <v>574</v>
      </c>
      <c r="E240" s="64"/>
      <c r="F240" s="77"/>
      <c r="G240" s="77"/>
      <c r="H240" s="77"/>
      <c r="I240" s="77"/>
      <c r="J240" s="77"/>
      <c r="K240" s="77"/>
    </row>
    <row r="241">
      <c r="A241" s="6">
        <v>239.0</v>
      </c>
      <c r="B241" s="77"/>
      <c r="C241" s="26" t="s">
        <v>575</v>
      </c>
      <c r="D241" s="58" t="s">
        <v>576</v>
      </c>
      <c r="E241" s="64"/>
      <c r="F241" s="77"/>
      <c r="G241" s="77"/>
      <c r="H241" s="77"/>
      <c r="I241" s="77"/>
      <c r="J241" s="77"/>
      <c r="K241" s="77"/>
    </row>
    <row r="242">
      <c r="A242" s="6">
        <v>240.0</v>
      </c>
      <c r="B242" s="77"/>
      <c r="C242" s="26" t="s">
        <v>577</v>
      </c>
      <c r="D242" s="26" t="s">
        <v>578</v>
      </c>
      <c r="E242" s="64"/>
      <c r="F242" s="77"/>
      <c r="G242" s="77"/>
      <c r="H242" s="77"/>
      <c r="I242" s="77"/>
      <c r="J242" s="77"/>
      <c r="K242" s="77"/>
    </row>
    <row r="243">
      <c r="A243" s="6">
        <v>241.0</v>
      </c>
      <c r="B243" s="77"/>
      <c r="C243" s="26" t="s">
        <v>579</v>
      </c>
      <c r="D243" s="26" t="s">
        <v>580</v>
      </c>
      <c r="E243" s="64"/>
      <c r="F243" s="77"/>
      <c r="G243" s="77"/>
      <c r="H243" s="77"/>
      <c r="I243" s="77"/>
      <c r="J243" s="77"/>
      <c r="K243" s="77"/>
    </row>
    <row r="244">
      <c r="A244" s="6">
        <v>242.0</v>
      </c>
      <c r="B244" s="77"/>
      <c r="C244" s="26" t="s">
        <v>581</v>
      </c>
      <c r="D244" s="26" t="s">
        <v>582</v>
      </c>
      <c r="E244" s="64"/>
      <c r="F244" s="77"/>
      <c r="G244" s="77"/>
      <c r="H244" s="77"/>
      <c r="I244" s="77"/>
      <c r="J244" s="77"/>
      <c r="K244" s="77"/>
    </row>
    <row r="245">
      <c r="A245" s="6">
        <v>243.0</v>
      </c>
      <c r="B245" s="77"/>
      <c r="C245" s="26" t="s">
        <v>583</v>
      </c>
      <c r="D245" s="26" t="s">
        <v>584</v>
      </c>
      <c r="E245" s="64"/>
      <c r="F245" s="77"/>
      <c r="G245" s="77"/>
      <c r="H245" s="77"/>
      <c r="I245" s="77"/>
      <c r="J245" s="77"/>
      <c r="K245" s="77"/>
    </row>
    <row r="246">
      <c r="A246" s="6">
        <v>244.0</v>
      </c>
      <c r="B246" s="77"/>
      <c r="C246" s="26" t="s">
        <v>585</v>
      </c>
      <c r="D246" s="26" t="s">
        <v>586</v>
      </c>
      <c r="E246" s="64"/>
      <c r="F246" s="77"/>
      <c r="G246" s="77"/>
      <c r="H246" s="77"/>
      <c r="I246" s="77"/>
      <c r="J246" s="77"/>
      <c r="K246" s="77"/>
    </row>
    <row r="247">
      <c r="A247" s="6">
        <v>245.0</v>
      </c>
      <c r="B247" s="77"/>
      <c r="C247" s="26" t="s">
        <v>587</v>
      </c>
      <c r="D247" s="26" t="s">
        <v>588</v>
      </c>
      <c r="E247" s="64"/>
      <c r="F247" s="77"/>
      <c r="G247" s="77"/>
      <c r="H247" s="77"/>
      <c r="I247" s="77"/>
      <c r="J247" s="77"/>
      <c r="K247" s="77"/>
    </row>
    <row r="248">
      <c r="A248" s="6">
        <v>246.0</v>
      </c>
      <c r="B248" s="77"/>
      <c r="C248" s="26" t="s">
        <v>589</v>
      </c>
      <c r="D248" s="26" t="s">
        <v>590</v>
      </c>
      <c r="E248" s="64"/>
      <c r="F248" s="77"/>
      <c r="G248" s="77"/>
      <c r="H248" s="77"/>
      <c r="I248" s="77"/>
      <c r="J248" s="77"/>
      <c r="K248" s="77"/>
    </row>
  </sheetData>
  <mergeCells count="1">
    <mergeCell ref="A1:M1"/>
  </mergeCells>
  <hyperlinks>
    <hyperlink r:id="rId1" ref="I11"/>
    <hyperlink r:id="rId2" ref="I14"/>
    <hyperlink r:id="rId3" ref="I15"/>
    <hyperlink r:id="rId4" ref="I23"/>
    <hyperlink r:id="rId5" ref="I24"/>
    <hyperlink r:id="rId6" ref="I25"/>
    <hyperlink r:id="rId7" ref="I26"/>
    <hyperlink r:id="rId8" ref="I27"/>
    <hyperlink r:id="rId9" ref="I28"/>
    <hyperlink r:id="rId10" ref="I169"/>
  </hyperlinks>
  <drawing r:id="rId11"/>
  <tableParts count="8"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25"/>
    <col customWidth="1" min="4" max="4" width="42.25"/>
    <col hidden="1" min="5" max="5" width="12.63"/>
    <col customWidth="1" hidden="1" min="6" max="6" width="12.88"/>
    <col hidden="1" min="7" max="22" width="12.63"/>
  </cols>
  <sheetData>
    <row r="1">
      <c r="A1" s="89" t="s">
        <v>591</v>
      </c>
      <c r="B1" s="90"/>
      <c r="C1" s="89" t="s">
        <v>592</v>
      </c>
      <c r="D1" s="90"/>
      <c r="E1" s="89" t="s">
        <v>593</v>
      </c>
      <c r="F1" s="89" t="s">
        <v>594</v>
      </c>
      <c r="G1" s="89" t="s">
        <v>595</v>
      </c>
      <c r="H1" s="89" t="s">
        <v>596</v>
      </c>
      <c r="I1" s="89" t="s">
        <v>597</v>
      </c>
      <c r="J1" s="89" t="s">
        <v>598</v>
      </c>
      <c r="K1" s="91"/>
      <c r="L1" s="92">
        <v>0.07</v>
      </c>
      <c r="M1" s="89" t="s">
        <v>599</v>
      </c>
      <c r="N1" s="89" t="s">
        <v>600</v>
      </c>
      <c r="O1" s="89" t="s">
        <v>601</v>
      </c>
      <c r="P1" s="92">
        <v>0.05</v>
      </c>
      <c r="Q1" s="92">
        <v>0.25</v>
      </c>
      <c r="R1" s="89" t="s">
        <v>602</v>
      </c>
      <c r="S1" s="93" t="s">
        <v>603</v>
      </c>
      <c r="T1" s="93" t="s">
        <v>604</v>
      </c>
      <c r="U1" s="93" t="s">
        <v>605</v>
      </c>
      <c r="V1" s="94" t="s">
        <v>606</v>
      </c>
      <c r="W1" s="95"/>
      <c r="X1" s="94" t="str">
        <f>O1+P1</f>
        <v>#VALUE!</v>
      </c>
      <c r="Y1" s="95"/>
      <c r="Z1" s="95"/>
      <c r="AA1" s="95"/>
      <c r="AB1" s="95"/>
      <c r="AC1" s="95"/>
      <c r="AD1" s="95"/>
      <c r="AE1" s="95"/>
    </row>
    <row r="2">
      <c r="A2" s="63" t="s">
        <v>283</v>
      </c>
      <c r="B2" s="96" t="s">
        <v>607</v>
      </c>
      <c r="C2" s="63" t="s">
        <v>284</v>
      </c>
      <c r="D2" s="63" t="s">
        <v>285</v>
      </c>
      <c r="E2" s="97">
        <v>900.0</v>
      </c>
      <c r="F2" s="97">
        <v>35.0</v>
      </c>
      <c r="G2" s="97">
        <f t="shared" ref="G2:G23" si="1">E2*F2</f>
        <v>31500</v>
      </c>
      <c r="H2" s="97">
        <v>1000.0</v>
      </c>
      <c r="I2" s="97">
        <f t="shared" ref="I2:I265" si="2">G2/H2</f>
        <v>31.5</v>
      </c>
      <c r="J2" s="97">
        <f t="shared" ref="J2:J182" si="3">I2+5%</f>
        <v>31.55</v>
      </c>
      <c r="K2" s="63"/>
      <c r="L2" s="97">
        <f t="shared" ref="L2:L265" si="4">(I2*7%)+I2</f>
        <v>33.705</v>
      </c>
      <c r="M2" s="97">
        <v>0.0</v>
      </c>
      <c r="N2" s="97">
        <f t="shared" ref="N2:N179" si="5">M2/H2</f>
        <v>0</v>
      </c>
      <c r="O2" s="97">
        <f t="shared" ref="O2:O265" si="6">N2+L2</f>
        <v>33.705</v>
      </c>
      <c r="P2" s="97">
        <f t="shared" ref="P2:P265" si="7">O2*5%</f>
        <v>1.68525</v>
      </c>
      <c r="Q2" s="97">
        <f t="shared" ref="Q2:Q43" si="8">O2*25%</f>
        <v>8.42625</v>
      </c>
      <c r="R2" s="97">
        <f t="shared" ref="R2:R265" si="9">O2+P2+Q2</f>
        <v>43.8165</v>
      </c>
      <c r="S2" s="98">
        <f t="shared" ref="S2:S265" si="10">(R2*7%)+R2</f>
        <v>46.883655</v>
      </c>
      <c r="T2" s="39" t="s">
        <v>608</v>
      </c>
      <c r="U2" s="39" t="s">
        <v>609</v>
      </c>
      <c r="V2" s="95"/>
      <c r="W2" s="95"/>
      <c r="X2" s="95"/>
      <c r="Y2" s="95"/>
      <c r="Z2" s="95"/>
      <c r="AA2" s="95"/>
      <c r="AB2" s="95"/>
      <c r="AC2" s="95"/>
      <c r="AD2" s="95"/>
      <c r="AE2" s="95"/>
    </row>
    <row r="3">
      <c r="A3" s="64" t="s">
        <v>287</v>
      </c>
      <c r="B3" s="96" t="s">
        <v>607</v>
      </c>
      <c r="C3" s="64" t="s">
        <v>288</v>
      </c>
      <c r="D3" s="64" t="s">
        <v>289</v>
      </c>
      <c r="E3" s="99">
        <v>900.0</v>
      </c>
      <c r="F3" s="99">
        <v>35.0</v>
      </c>
      <c r="G3" s="99">
        <f t="shared" si="1"/>
        <v>31500</v>
      </c>
      <c r="H3" s="99">
        <v>1000.0</v>
      </c>
      <c r="I3" s="99">
        <f t="shared" si="2"/>
        <v>31.5</v>
      </c>
      <c r="J3" s="99">
        <f t="shared" si="3"/>
        <v>31.55</v>
      </c>
      <c r="K3" s="64"/>
      <c r="L3" s="99">
        <f t="shared" si="4"/>
        <v>33.705</v>
      </c>
      <c r="M3" s="99">
        <v>0.0</v>
      </c>
      <c r="N3" s="99">
        <f t="shared" si="5"/>
        <v>0</v>
      </c>
      <c r="O3" s="99">
        <f t="shared" si="6"/>
        <v>33.705</v>
      </c>
      <c r="P3" s="99">
        <f t="shared" si="7"/>
        <v>1.68525</v>
      </c>
      <c r="Q3" s="99">
        <f t="shared" si="8"/>
        <v>8.42625</v>
      </c>
      <c r="R3" s="99">
        <f t="shared" si="9"/>
        <v>43.8165</v>
      </c>
      <c r="S3" s="98">
        <f t="shared" si="10"/>
        <v>46.883655</v>
      </c>
      <c r="T3" s="39" t="s">
        <v>608</v>
      </c>
      <c r="U3" s="39" t="s">
        <v>609</v>
      </c>
      <c r="V3" s="95"/>
      <c r="W3" s="95"/>
      <c r="X3" s="95"/>
      <c r="Y3" s="95"/>
      <c r="Z3" s="95"/>
      <c r="AA3" s="95"/>
      <c r="AB3" s="95"/>
      <c r="AC3" s="95"/>
      <c r="AD3" s="95"/>
      <c r="AE3" s="95"/>
    </row>
    <row r="4">
      <c r="A4" s="46" t="s">
        <v>188</v>
      </c>
      <c r="B4" s="96" t="s">
        <v>610</v>
      </c>
      <c r="C4" s="63" t="s">
        <v>189</v>
      </c>
      <c r="D4" s="63" t="s">
        <v>190</v>
      </c>
      <c r="E4" s="97">
        <v>3800.0</v>
      </c>
      <c r="F4" s="97">
        <v>5.0</v>
      </c>
      <c r="G4" s="97">
        <f t="shared" si="1"/>
        <v>19000</v>
      </c>
      <c r="H4" s="97">
        <v>200.0</v>
      </c>
      <c r="I4" s="97">
        <f t="shared" si="2"/>
        <v>95</v>
      </c>
      <c r="J4" s="97">
        <f t="shared" si="3"/>
        <v>95.05</v>
      </c>
      <c r="K4" s="63"/>
      <c r="L4" s="97">
        <f t="shared" si="4"/>
        <v>101.65</v>
      </c>
      <c r="M4" s="97">
        <v>1107.685</v>
      </c>
      <c r="N4" s="97">
        <f t="shared" si="5"/>
        <v>5.538425</v>
      </c>
      <c r="O4" s="97">
        <f t="shared" si="6"/>
        <v>107.188425</v>
      </c>
      <c r="P4" s="97">
        <f t="shared" si="7"/>
        <v>5.35942125</v>
      </c>
      <c r="Q4" s="97">
        <f t="shared" si="8"/>
        <v>26.79710625</v>
      </c>
      <c r="R4" s="97">
        <f t="shared" si="9"/>
        <v>139.3449525</v>
      </c>
      <c r="S4" s="98">
        <f t="shared" si="10"/>
        <v>149.0990992</v>
      </c>
      <c r="T4" s="100" t="s">
        <v>611</v>
      </c>
      <c r="U4" s="98">
        <v>1.0</v>
      </c>
      <c r="V4" s="95"/>
      <c r="W4" s="95"/>
      <c r="X4" s="95"/>
      <c r="Y4" s="95"/>
      <c r="Z4" s="95"/>
      <c r="AA4" s="95"/>
      <c r="AB4" s="95"/>
      <c r="AC4" s="95"/>
      <c r="AD4" s="95"/>
      <c r="AE4" s="95"/>
    </row>
    <row r="5">
      <c r="A5" s="44" t="s">
        <v>185</v>
      </c>
      <c r="B5" s="96" t="s">
        <v>610</v>
      </c>
      <c r="C5" s="64" t="s">
        <v>186</v>
      </c>
      <c r="D5" s="64" t="s">
        <v>187</v>
      </c>
      <c r="E5" s="99">
        <v>4200.0</v>
      </c>
      <c r="F5" s="99">
        <v>5.0</v>
      </c>
      <c r="G5" s="99">
        <f t="shared" si="1"/>
        <v>21000</v>
      </c>
      <c r="H5" s="99">
        <v>200.0</v>
      </c>
      <c r="I5" s="99">
        <f t="shared" si="2"/>
        <v>105</v>
      </c>
      <c r="J5" s="99">
        <f t="shared" si="3"/>
        <v>105.05</v>
      </c>
      <c r="K5" s="64"/>
      <c r="L5" s="99">
        <f t="shared" si="4"/>
        <v>112.35</v>
      </c>
      <c r="M5" s="99">
        <v>1107.685</v>
      </c>
      <c r="N5" s="99">
        <f t="shared" si="5"/>
        <v>5.538425</v>
      </c>
      <c r="O5" s="99">
        <f t="shared" si="6"/>
        <v>117.888425</v>
      </c>
      <c r="P5" s="99">
        <f t="shared" si="7"/>
        <v>5.89442125</v>
      </c>
      <c r="Q5" s="99">
        <f t="shared" si="8"/>
        <v>29.47210625</v>
      </c>
      <c r="R5" s="99">
        <f t="shared" si="9"/>
        <v>153.2549525</v>
      </c>
      <c r="S5" s="98">
        <f t="shared" si="10"/>
        <v>163.9827992</v>
      </c>
      <c r="T5" s="100" t="s">
        <v>611</v>
      </c>
      <c r="U5" s="98">
        <v>1.0</v>
      </c>
      <c r="V5" s="95"/>
      <c r="W5" s="95"/>
      <c r="X5" s="95"/>
      <c r="Y5" s="95"/>
      <c r="Z5" s="95"/>
      <c r="AA5" s="95"/>
      <c r="AB5" s="95"/>
      <c r="AC5" s="95"/>
      <c r="AD5" s="95"/>
      <c r="AE5" s="95"/>
    </row>
    <row r="6">
      <c r="A6" s="46" t="s">
        <v>298</v>
      </c>
      <c r="B6" s="96" t="s">
        <v>610</v>
      </c>
      <c r="C6" s="63" t="s">
        <v>299</v>
      </c>
      <c r="D6" s="63" t="s">
        <v>300</v>
      </c>
      <c r="E6" s="97">
        <v>1700.0</v>
      </c>
      <c r="F6" s="97">
        <v>5.0</v>
      </c>
      <c r="G6" s="97">
        <f t="shared" si="1"/>
        <v>8500</v>
      </c>
      <c r="H6" s="97">
        <v>100.0</v>
      </c>
      <c r="I6" s="97">
        <f t="shared" si="2"/>
        <v>85</v>
      </c>
      <c r="J6" s="97">
        <f t="shared" si="3"/>
        <v>85.05</v>
      </c>
      <c r="K6" s="63"/>
      <c r="L6" s="97">
        <f t="shared" si="4"/>
        <v>90.95</v>
      </c>
      <c r="M6" s="97">
        <v>235.865</v>
      </c>
      <c r="N6" s="97">
        <f t="shared" si="5"/>
        <v>2.35865</v>
      </c>
      <c r="O6" s="97">
        <f t="shared" si="6"/>
        <v>93.30865</v>
      </c>
      <c r="P6" s="97">
        <f t="shared" si="7"/>
        <v>4.6654325</v>
      </c>
      <c r="Q6" s="97">
        <f t="shared" si="8"/>
        <v>23.3271625</v>
      </c>
      <c r="R6" s="97">
        <f t="shared" si="9"/>
        <v>121.301245</v>
      </c>
      <c r="S6" s="98">
        <f t="shared" si="10"/>
        <v>129.7923322</v>
      </c>
      <c r="T6" s="39" t="s">
        <v>611</v>
      </c>
      <c r="U6" s="98">
        <v>2.0</v>
      </c>
      <c r="V6" s="95"/>
      <c r="W6" s="95"/>
      <c r="X6" s="95"/>
      <c r="Y6" s="95"/>
      <c r="Z6" s="95"/>
      <c r="AA6" s="95"/>
      <c r="AB6" s="95"/>
      <c r="AC6" s="95"/>
      <c r="AD6" s="95"/>
      <c r="AE6" s="95"/>
    </row>
    <row r="7">
      <c r="A7" s="44" t="s">
        <v>301</v>
      </c>
      <c r="B7" s="96" t="s">
        <v>610</v>
      </c>
      <c r="C7" s="64" t="s">
        <v>302</v>
      </c>
      <c r="D7" s="64" t="s">
        <v>303</v>
      </c>
      <c r="E7" s="99">
        <v>2200.0</v>
      </c>
      <c r="F7" s="99">
        <v>5.0</v>
      </c>
      <c r="G7" s="99">
        <f t="shared" si="1"/>
        <v>11000</v>
      </c>
      <c r="H7" s="99">
        <v>100.0</v>
      </c>
      <c r="I7" s="99">
        <f t="shared" si="2"/>
        <v>110</v>
      </c>
      <c r="J7" s="99">
        <f t="shared" si="3"/>
        <v>110.05</v>
      </c>
      <c r="K7" s="64"/>
      <c r="L7" s="99">
        <f t="shared" si="4"/>
        <v>117.7</v>
      </c>
      <c r="M7" s="99">
        <v>235.685</v>
      </c>
      <c r="N7" s="99">
        <f t="shared" si="5"/>
        <v>2.35685</v>
      </c>
      <c r="O7" s="99">
        <f t="shared" si="6"/>
        <v>120.05685</v>
      </c>
      <c r="P7" s="99">
        <f t="shared" si="7"/>
        <v>6.0028425</v>
      </c>
      <c r="Q7" s="99">
        <f t="shared" si="8"/>
        <v>30.0142125</v>
      </c>
      <c r="R7" s="99">
        <f t="shared" si="9"/>
        <v>156.073905</v>
      </c>
      <c r="S7" s="98">
        <f t="shared" si="10"/>
        <v>166.9990784</v>
      </c>
      <c r="T7" s="39" t="s">
        <v>611</v>
      </c>
      <c r="U7" s="98">
        <v>2.0</v>
      </c>
      <c r="V7" s="95"/>
      <c r="W7" s="95"/>
      <c r="X7" s="95"/>
      <c r="Y7" s="95"/>
      <c r="Z7" s="95"/>
      <c r="AA7" s="95"/>
      <c r="AB7" s="95"/>
      <c r="AC7" s="95"/>
      <c r="AD7" s="95"/>
      <c r="AE7" s="95"/>
    </row>
    <row r="8">
      <c r="A8" s="46" t="s">
        <v>304</v>
      </c>
      <c r="B8" s="96" t="s">
        <v>610</v>
      </c>
      <c r="C8" s="63" t="s">
        <v>305</v>
      </c>
      <c r="D8" s="63" t="s">
        <v>306</v>
      </c>
      <c r="E8" s="97">
        <v>1225.0</v>
      </c>
      <c r="F8" s="97">
        <v>5.0</v>
      </c>
      <c r="G8" s="97">
        <f t="shared" si="1"/>
        <v>6125</v>
      </c>
      <c r="H8" s="97">
        <v>50.0</v>
      </c>
      <c r="I8" s="97">
        <f t="shared" si="2"/>
        <v>122.5</v>
      </c>
      <c r="J8" s="97">
        <f t="shared" si="3"/>
        <v>122.55</v>
      </c>
      <c r="K8" s="63"/>
      <c r="L8" s="97">
        <f t="shared" si="4"/>
        <v>131.075</v>
      </c>
      <c r="M8" s="97">
        <v>226.8</v>
      </c>
      <c r="N8" s="97">
        <f t="shared" si="5"/>
        <v>4.536</v>
      </c>
      <c r="O8" s="97">
        <f t="shared" si="6"/>
        <v>135.611</v>
      </c>
      <c r="P8" s="97">
        <f t="shared" si="7"/>
        <v>6.78055</v>
      </c>
      <c r="Q8" s="97">
        <f t="shared" si="8"/>
        <v>33.90275</v>
      </c>
      <c r="R8" s="97">
        <f t="shared" si="9"/>
        <v>176.2943</v>
      </c>
      <c r="S8" s="98">
        <f t="shared" si="10"/>
        <v>188.634901</v>
      </c>
      <c r="T8" s="39" t="s">
        <v>612</v>
      </c>
      <c r="U8" s="98">
        <v>1.0</v>
      </c>
      <c r="V8" s="95"/>
      <c r="W8" s="95"/>
      <c r="X8" s="95"/>
      <c r="Y8" s="95"/>
      <c r="Z8" s="95"/>
      <c r="AA8" s="95"/>
      <c r="AB8" s="95"/>
      <c r="AC8" s="95"/>
      <c r="AD8" s="95"/>
      <c r="AE8" s="95"/>
    </row>
    <row r="9">
      <c r="A9" s="64" t="s">
        <v>178</v>
      </c>
      <c r="B9" s="96" t="s">
        <v>610</v>
      </c>
      <c r="C9" s="64" t="s">
        <v>179</v>
      </c>
      <c r="D9" s="64" t="s">
        <v>180</v>
      </c>
      <c r="E9" s="99">
        <v>4100.0</v>
      </c>
      <c r="F9" s="99">
        <v>5.0</v>
      </c>
      <c r="G9" s="99">
        <f t="shared" si="1"/>
        <v>20500</v>
      </c>
      <c r="H9" s="99">
        <v>200.0</v>
      </c>
      <c r="I9" s="99">
        <f t="shared" si="2"/>
        <v>102.5</v>
      </c>
      <c r="J9" s="99">
        <f t="shared" si="3"/>
        <v>102.55</v>
      </c>
      <c r="K9" s="64"/>
      <c r="L9" s="99">
        <f t="shared" si="4"/>
        <v>109.675</v>
      </c>
      <c r="M9" s="99">
        <v>3347.32</v>
      </c>
      <c r="N9" s="99">
        <f t="shared" si="5"/>
        <v>16.7366</v>
      </c>
      <c r="O9" s="99">
        <f t="shared" si="6"/>
        <v>126.4116</v>
      </c>
      <c r="P9" s="99">
        <f t="shared" si="7"/>
        <v>6.32058</v>
      </c>
      <c r="Q9" s="99">
        <f t="shared" si="8"/>
        <v>31.6029</v>
      </c>
      <c r="R9" s="99">
        <f t="shared" si="9"/>
        <v>164.33508</v>
      </c>
      <c r="S9" s="98">
        <f t="shared" si="10"/>
        <v>175.8385356</v>
      </c>
      <c r="T9" s="39" t="s">
        <v>612</v>
      </c>
      <c r="U9" s="98">
        <v>2.0</v>
      </c>
      <c r="V9" s="95"/>
      <c r="W9" s="95"/>
      <c r="X9" s="95"/>
      <c r="Y9" s="95"/>
      <c r="Z9" s="95"/>
      <c r="AA9" s="95"/>
      <c r="AB9" s="95"/>
      <c r="AC9" s="95"/>
      <c r="AD9" s="95"/>
      <c r="AE9" s="95"/>
    </row>
    <row r="10">
      <c r="A10" s="46" t="s">
        <v>19</v>
      </c>
      <c r="B10" s="96" t="s">
        <v>613</v>
      </c>
      <c r="C10" s="79" t="s">
        <v>614</v>
      </c>
      <c r="D10" s="79" t="s">
        <v>21</v>
      </c>
      <c r="E10" s="97">
        <f>2900+17500</f>
        <v>20400</v>
      </c>
      <c r="F10" s="97">
        <v>5.0</v>
      </c>
      <c r="G10" s="97">
        <f t="shared" si="1"/>
        <v>102000</v>
      </c>
      <c r="H10" s="97">
        <f t="shared" ref="H10:H11" si="11">10000+100000</f>
        <v>110000</v>
      </c>
      <c r="I10" s="97">
        <f t="shared" si="2"/>
        <v>0.9272727273</v>
      </c>
      <c r="J10" s="97">
        <f t="shared" si="3"/>
        <v>0.9772727273</v>
      </c>
      <c r="K10" s="63"/>
      <c r="L10" s="97">
        <f t="shared" si="4"/>
        <v>0.9921818182</v>
      </c>
      <c r="M10" s="97">
        <f t="shared" ref="M10:M11" si="12">2712+27059.04</f>
        <v>29771.04</v>
      </c>
      <c r="N10" s="97">
        <f t="shared" si="5"/>
        <v>0.2706458182</v>
      </c>
      <c r="O10" s="97">
        <f t="shared" si="6"/>
        <v>1.262827636</v>
      </c>
      <c r="P10" s="97">
        <f t="shared" si="7"/>
        <v>0.06314138182</v>
      </c>
      <c r="Q10" s="97">
        <f t="shared" si="8"/>
        <v>0.3157069091</v>
      </c>
      <c r="R10" s="97">
        <f t="shared" si="9"/>
        <v>1.641675927</v>
      </c>
      <c r="S10" s="98">
        <f t="shared" si="10"/>
        <v>1.756593242</v>
      </c>
      <c r="T10" s="39" t="s">
        <v>615</v>
      </c>
      <c r="U10" s="101">
        <v>46024.0</v>
      </c>
      <c r="V10" s="95"/>
      <c r="W10" s="95"/>
      <c r="X10" s="95"/>
      <c r="Y10" s="95"/>
      <c r="Z10" s="95"/>
      <c r="AA10" s="95"/>
      <c r="AB10" s="95"/>
      <c r="AC10" s="95"/>
      <c r="AD10" s="95"/>
      <c r="AE10" s="95"/>
    </row>
    <row r="11">
      <c r="A11" s="44" t="s">
        <v>23</v>
      </c>
      <c r="B11" s="96" t="s">
        <v>613</v>
      </c>
      <c r="C11" s="79" t="s">
        <v>616</v>
      </c>
      <c r="D11" s="79" t="s">
        <v>25</v>
      </c>
      <c r="E11" s="99">
        <f>3000+19500</f>
        <v>22500</v>
      </c>
      <c r="F11" s="99">
        <v>5.0</v>
      </c>
      <c r="G11" s="99">
        <f t="shared" si="1"/>
        <v>112500</v>
      </c>
      <c r="H11" s="99">
        <f t="shared" si="11"/>
        <v>110000</v>
      </c>
      <c r="I11" s="99">
        <f t="shared" si="2"/>
        <v>1.022727273</v>
      </c>
      <c r="J11" s="99">
        <f t="shared" si="3"/>
        <v>1.072727273</v>
      </c>
      <c r="K11" s="64"/>
      <c r="L11" s="99">
        <f t="shared" si="4"/>
        <v>1.094318182</v>
      </c>
      <c r="M11" s="99">
        <f t="shared" si="12"/>
        <v>29771.04</v>
      </c>
      <c r="N11" s="99">
        <f t="shared" si="5"/>
        <v>0.2706458182</v>
      </c>
      <c r="O11" s="99">
        <f t="shared" si="6"/>
        <v>1.364964</v>
      </c>
      <c r="P11" s="99">
        <f t="shared" si="7"/>
        <v>0.0682482</v>
      </c>
      <c r="Q11" s="99">
        <f t="shared" si="8"/>
        <v>0.341241</v>
      </c>
      <c r="R11" s="99">
        <f t="shared" si="9"/>
        <v>1.7744532</v>
      </c>
      <c r="S11" s="98">
        <f t="shared" si="10"/>
        <v>1.898664924</v>
      </c>
      <c r="T11" s="39" t="s">
        <v>617</v>
      </c>
      <c r="U11" s="101">
        <v>46024.0</v>
      </c>
      <c r="V11" s="95"/>
      <c r="W11" s="95"/>
      <c r="X11" s="95"/>
      <c r="Y11" s="95"/>
      <c r="Z11" s="95"/>
      <c r="AA11" s="95"/>
      <c r="AB11" s="95"/>
      <c r="AC11" s="95"/>
      <c r="AD11" s="95"/>
      <c r="AE11" s="95"/>
    </row>
    <row r="12">
      <c r="A12" s="46" t="s">
        <v>13</v>
      </c>
      <c r="B12" s="96" t="s">
        <v>613</v>
      </c>
      <c r="C12" s="79" t="s">
        <v>618</v>
      </c>
      <c r="D12" s="79" t="s">
        <v>15</v>
      </c>
      <c r="E12" s="97">
        <v>3200.0</v>
      </c>
      <c r="F12" s="97">
        <v>5.0</v>
      </c>
      <c r="G12" s="97">
        <f t="shared" si="1"/>
        <v>16000</v>
      </c>
      <c r="H12" s="97">
        <v>10000.0</v>
      </c>
      <c r="I12" s="97">
        <f t="shared" si="2"/>
        <v>1.6</v>
      </c>
      <c r="J12" s="97">
        <f t="shared" si="3"/>
        <v>1.65</v>
      </c>
      <c r="K12" s="63"/>
      <c r="L12" s="97">
        <f t="shared" si="4"/>
        <v>1.712</v>
      </c>
      <c r="M12" s="102">
        <v>4536.0</v>
      </c>
      <c r="N12" s="97">
        <f t="shared" si="5"/>
        <v>0.4536</v>
      </c>
      <c r="O12" s="97">
        <f t="shared" si="6"/>
        <v>2.1656</v>
      </c>
      <c r="P12" s="97">
        <f t="shared" si="7"/>
        <v>0.10828</v>
      </c>
      <c r="Q12" s="97">
        <f t="shared" si="8"/>
        <v>0.5414</v>
      </c>
      <c r="R12" s="97">
        <f t="shared" si="9"/>
        <v>2.81528</v>
      </c>
      <c r="S12" s="98">
        <f t="shared" si="10"/>
        <v>3.0123496</v>
      </c>
      <c r="T12" s="39" t="s">
        <v>619</v>
      </c>
      <c r="U12" s="98">
        <v>1.0</v>
      </c>
      <c r="V12" s="95"/>
      <c r="W12" s="95"/>
      <c r="X12" s="95"/>
      <c r="Y12" s="95"/>
      <c r="Z12" s="95"/>
      <c r="AA12" s="95"/>
      <c r="AB12" s="95"/>
      <c r="AC12" s="95"/>
      <c r="AD12" s="95"/>
      <c r="AE12" s="95"/>
    </row>
    <row r="13">
      <c r="A13" s="44" t="s">
        <v>35</v>
      </c>
      <c r="B13" s="96" t="s">
        <v>613</v>
      </c>
      <c r="C13" s="79" t="s">
        <v>620</v>
      </c>
      <c r="D13" s="79" t="s">
        <v>37</v>
      </c>
      <c r="E13" s="99">
        <f>181.25+4000</f>
        <v>4181.25</v>
      </c>
      <c r="F13" s="99">
        <v>5.0</v>
      </c>
      <c r="G13" s="99">
        <f t="shared" si="1"/>
        <v>20906.25</v>
      </c>
      <c r="H13" s="99">
        <f>1000+25000</f>
        <v>26000</v>
      </c>
      <c r="I13" s="99">
        <f t="shared" si="2"/>
        <v>0.8040865385</v>
      </c>
      <c r="J13" s="99">
        <f t="shared" si="3"/>
        <v>0.8540865385</v>
      </c>
      <c r="K13" s="64"/>
      <c r="L13" s="99">
        <f t="shared" si="4"/>
        <v>0.8603725962</v>
      </c>
      <c r="M13" s="99">
        <f>350+8760.96</f>
        <v>9110.96</v>
      </c>
      <c r="N13" s="99">
        <f t="shared" si="5"/>
        <v>0.3504215385</v>
      </c>
      <c r="O13" s="99">
        <f t="shared" si="6"/>
        <v>1.210794135</v>
      </c>
      <c r="P13" s="99">
        <f t="shared" si="7"/>
        <v>0.06053970673</v>
      </c>
      <c r="Q13" s="99">
        <f t="shared" si="8"/>
        <v>0.3026985337</v>
      </c>
      <c r="R13" s="99">
        <f t="shared" si="9"/>
        <v>1.574032375</v>
      </c>
      <c r="S13" s="98">
        <f t="shared" si="10"/>
        <v>1.684214641</v>
      </c>
      <c r="T13" s="39" t="s">
        <v>621</v>
      </c>
      <c r="U13" s="101">
        <v>46023.0</v>
      </c>
      <c r="V13" s="95"/>
      <c r="W13" s="95"/>
      <c r="X13" s="95"/>
      <c r="Y13" s="95"/>
      <c r="Z13" s="95"/>
      <c r="AA13" s="95"/>
      <c r="AB13" s="95"/>
      <c r="AC13" s="95"/>
      <c r="AD13" s="95"/>
      <c r="AE13" s="95"/>
    </row>
    <row r="14">
      <c r="A14" s="46" t="s">
        <v>38</v>
      </c>
      <c r="B14" s="96" t="s">
        <v>613</v>
      </c>
      <c r="C14" s="79" t="s">
        <v>622</v>
      </c>
      <c r="D14" s="79" t="s">
        <v>40</v>
      </c>
      <c r="E14" s="97">
        <f>181.25+1600</f>
        <v>1781.25</v>
      </c>
      <c r="F14" s="97">
        <v>5.0</v>
      </c>
      <c r="G14" s="97">
        <f t="shared" si="1"/>
        <v>8906.25</v>
      </c>
      <c r="H14" s="97">
        <f>1000+10000</f>
        <v>11000</v>
      </c>
      <c r="I14" s="97">
        <f t="shared" si="2"/>
        <v>0.8096590909</v>
      </c>
      <c r="J14" s="97">
        <f t="shared" si="3"/>
        <v>0.8596590909</v>
      </c>
      <c r="K14" s="63"/>
      <c r="L14" s="97">
        <f t="shared" si="4"/>
        <v>0.8663352273</v>
      </c>
      <c r="M14" s="97">
        <f>350+3504.384</f>
        <v>3854.384</v>
      </c>
      <c r="N14" s="97">
        <f t="shared" si="5"/>
        <v>0.3503985455</v>
      </c>
      <c r="O14" s="97">
        <f t="shared" si="6"/>
        <v>1.216733773</v>
      </c>
      <c r="P14" s="97">
        <f t="shared" si="7"/>
        <v>0.06083668864</v>
      </c>
      <c r="Q14" s="97">
        <f t="shared" si="8"/>
        <v>0.3041834432</v>
      </c>
      <c r="R14" s="97">
        <f t="shared" si="9"/>
        <v>1.581753905</v>
      </c>
      <c r="S14" s="98">
        <f t="shared" si="10"/>
        <v>1.692476678</v>
      </c>
      <c r="T14" s="39" t="s">
        <v>621</v>
      </c>
      <c r="U14" s="101">
        <v>46023.0</v>
      </c>
      <c r="V14" s="95"/>
      <c r="W14" s="95"/>
      <c r="X14" s="95"/>
      <c r="Y14" s="95"/>
      <c r="Z14" s="95"/>
      <c r="AA14" s="95"/>
      <c r="AB14" s="95"/>
      <c r="AC14" s="95"/>
      <c r="AD14" s="95"/>
      <c r="AE14" s="95"/>
    </row>
    <row r="15">
      <c r="A15" s="44" t="s">
        <v>29</v>
      </c>
      <c r="B15" s="96" t="s">
        <v>613</v>
      </c>
      <c r="C15" s="79" t="s">
        <v>623</v>
      </c>
      <c r="D15" s="79" t="s">
        <v>31</v>
      </c>
      <c r="E15" s="99">
        <f>362.5+6400</f>
        <v>6762.5</v>
      </c>
      <c r="F15" s="99">
        <v>5.0</v>
      </c>
      <c r="G15" s="99">
        <f t="shared" si="1"/>
        <v>33812.5</v>
      </c>
      <c r="H15" s="99">
        <f>2000+40000</f>
        <v>42000</v>
      </c>
      <c r="I15" s="99">
        <f t="shared" si="2"/>
        <v>0.8050595238</v>
      </c>
      <c r="J15" s="99">
        <f t="shared" si="3"/>
        <v>0.8550595238</v>
      </c>
      <c r="K15" s="64"/>
      <c r="L15" s="99">
        <f t="shared" si="4"/>
        <v>0.8614136905</v>
      </c>
      <c r="M15" s="99">
        <f>700+14017.536</f>
        <v>14717.536</v>
      </c>
      <c r="N15" s="99">
        <f t="shared" si="5"/>
        <v>0.3504175238</v>
      </c>
      <c r="O15" s="99">
        <f t="shared" si="6"/>
        <v>1.211831214</v>
      </c>
      <c r="P15" s="99">
        <f t="shared" si="7"/>
        <v>0.06059156071</v>
      </c>
      <c r="Q15" s="99">
        <f t="shared" si="8"/>
        <v>0.3029578036</v>
      </c>
      <c r="R15" s="99">
        <f t="shared" si="9"/>
        <v>1.575380579</v>
      </c>
      <c r="S15" s="98">
        <f t="shared" si="10"/>
        <v>1.685657219</v>
      </c>
      <c r="T15" s="39" t="s">
        <v>621</v>
      </c>
      <c r="U15" s="101">
        <v>46023.0</v>
      </c>
      <c r="V15" s="95"/>
      <c r="W15" s="95"/>
      <c r="X15" s="95"/>
      <c r="Y15" s="95"/>
      <c r="Z15" s="95"/>
      <c r="AA15" s="95"/>
      <c r="AB15" s="95"/>
      <c r="AC15" s="95"/>
      <c r="AD15" s="95"/>
      <c r="AE15" s="95"/>
    </row>
    <row r="16">
      <c r="A16" s="46" t="s">
        <v>33</v>
      </c>
      <c r="B16" s="96" t="s">
        <v>613</v>
      </c>
      <c r="C16" s="79" t="s">
        <v>624</v>
      </c>
      <c r="D16" s="79" t="s">
        <v>625</v>
      </c>
      <c r="E16" s="97">
        <f>362.5+4000</f>
        <v>4362.5</v>
      </c>
      <c r="F16" s="97">
        <v>5.0</v>
      </c>
      <c r="G16" s="97">
        <f t="shared" si="1"/>
        <v>21812.5</v>
      </c>
      <c r="H16" s="97">
        <f>2000+25000</f>
        <v>27000</v>
      </c>
      <c r="I16" s="97">
        <f t="shared" si="2"/>
        <v>0.8078703704</v>
      </c>
      <c r="J16" s="97">
        <f t="shared" si="3"/>
        <v>0.8578703704</v>
      </c>
      <c r="K16" s="63"/>
      <c r="L16" s="97">
        <f t="shared" si="4"/>
        <v>0.8644212963</v>
      </c>
      <c r="M16" s="97">
        <f>700+8760.96</f>
        <v>9460.96</v>
      </c>
      <c r="N16" s="97">
        <f t="shared" si="5"/>
        <v>0.3504059259</v>
      </c>
      <c r="O16" s="97">
        <f t="shared" si="6"/>
        <v>1.214827222</v>
      </c>
      <c r="P16" s="97">
        <f t="shared" si="7"/>
        <v>0.06074136111</v>
      </c>
      <c r="Q16" s="97">
        <f t="shared" si="8"/>
        <v>0.3037068056</v>
      </c>
      <c r="R16" s="97">
        <f t="shared" si="9"/>
        <v>1.579275389</v>
      </c>
      <c r="S16" s="98">
        <f t="shared" si="10"/>
        <v>1.689824666</v>
      </c>
      <c r="T16" s="39" t="s">
        <v>621</v>
      </c>
      <c r="U16" s="101">
        <v>46023.0</v>
      </c>
      <c r="V16" s="95"/>
      <c r="W16" s="95"/>
      <c r="X16" s="95"/>
      <c r="Y16" s="95"/>
      <c r="Z16" s="95"/>
      <c r="AA16" s="95"/>
      <c r="AB16" s="95"/>
      <c r="AC16" s="95"/>
      <c r="AD16" s="95"/>
      <c r="AE16" s="95"/>
    </row>
    <row r="17">
      <c r="A17" s="64" t="s">
        <v>207</v>
      </c>
      <c r="B17" s="96" t="s">
        <v>610</v>
      </c>
      <c r="C17" s="64" t="s">
        <v>208</v>
      </c>
      <c r="D17" s="64" t="s">
        <v>209</v>
      </c>
      <c r="E17" s="99">
        <v>4300.0</v>
      </c>
      <c r="F17" s="99">
        <v>5.0</v>
      </c>
      <c r="G17" s="99">
        <f t="shared" si="1"/>
        <v>21500</v>
      </c>
      <c r="H17" s="99">
        <v>100.0</v>
      </c>
      <c r="I17" s="99">
        <f t="shared" si="2"/>
        <v>215</v>
      </c>
      <c r="J17" s="99">
        <f t="shared" si="3"/>
        <v>215.05</v>
      </c>
      <c r="K17" s="64"/>
      <c r="L17" s="99">
        <f t="shared" si="4"/>
        <v>230.05</v>
      </c>
      <c r="M17" s="103">
        <v>3414.82</v>
      </c>
      <c r="N17" s="99">
        <f t="shared" si="5"/>
        <v>34.1482</v>
      </c>
      <c r="O17" s="99">
        <f t="shared" si="6"/>
        <v>264.1982</v>
      </c>
      <c r="P17" s="99">
        <f t="shared" si="7"/>
        <v>13.20991</v>
      </c>
      <c r="Q17" s="99">
        <f t="shared" si="8"/>
        <v>66.04955</v>
      </c>
      <c r="R17" s="99">
        <f t="shared" si="9"/>
        <v>343.45766</v>
      </c>
      <c r="S17" s="98">
        <f t="shared" si="10"/>
        <v>367.4996962</v>
      </c>
      <c r="T17" s="39" t="s">
        <v>626</v>
      </c>
      <c r="U17" s="98">
        <v>1.0</v>
      </c>
      <c r="V17" s="95"/>
      <c r="W17" s="95"/>
      <c r="X17" s="95"/>
      <c r="Y17" s="95"/>
      <c r="Z17" s="95"/>
      <c r="AA17" s="95"/>
      <c r="AB17" s="95"/>
      <c r="AC17" s="95"/>
      <c r="AD17" s="95"/>
      <c r="AE17" s="95"/>
    </row>
    <row r="18">
      <c r="A18" s="63" t="s">
        <v>439</v>
      </c>
      <c r="B18" s="96" t="s">
        <v>613</v>
      </c>
      <c r="C18" s="79" t="s">
        <v>440</v>
      </c>
      <c r="D18" s="79" t="s">
        <v>441</v>
      </c>
      <c r="E18" s="97">
        <v>143.82</v>
      </c>
      <c r="F18" s="97">
        <v>5.0</v>
      </c>
      <c r="G18" s="97">
        <f t="shared" si="1"/>
        <v>719.1</v>
      </c>
      <c r="H18" s="97">
        <v>12000.0</v>
      </c>
      <c r="I18" s="97">
        <f t="shared" si="2"/>
        <v>0.059925</v>
      </c>
      <c r="J18" s="97">
        <f t="shared" si="3"/>
        <v>0.109925</v>
      </c>
      <c r="K18" s="63"/>
      <c r="L18" s="97">
        <f t="shared" si="4"/>
        <v>0.06411975</v>
      </c>
      <c r="M18" s="97">
        <v>265.2</v>
      </c>
      <c r="N18" s="97">
        <f t="shared" si="5"/>
        <v>0.0221</v>
      </c>
      <c r="O18" s="97">
        <f t="shared" si="6"/>
        <v>0.08621975</v>
      </c>
      <c r="P18" s="97">
        <f t="shared" si="7"/>
        <v>0.0043109875</v>
      </c>
      <c r="Q18" s="97">
        <f t="shared" si="8"/>
        <v>0.0215549375</v>
      </c>
      <c r="R18" s="97">
        <f t="shared" si="9"/>
        <v>0.112085675</v>
      </c>
      <c r="S18" s="98">
        <f t="shared" si="10"/>
        <v>0.1199316723</v>
      </c>
      <c r="T18" s="39" t="s">
        <v>627</v>
      </c>
      <c r="U18" s="98">
        <v>1.0</v>
      </c>
      <c r="V18" s="95"/>
      <c r="W18" s="95"/>
      <c r="X18" s="95"/>
      <c r="Y18" s="95"/>
      <c r="Z18" s="95"/>
      <c r="AA18" s="95"/>
      <c r="AB18" s="95"/>
      <c r="AC18" s="95"/>
      <c r="AD18" s="95"/>
      <c r="AE18" s="95"/>
    </row>
    <row r="19">
      <c r="A19" s="64" t="s">
        <v>430</v>
      </c>
      <c r="B19" s="96" t="s">
        <v>628</v>
      </c>
      <c r="C19" s="79" t="s">
        <v>431</v>
      </c>
      <c r="D19" s="79" t="s">
        <v>432</v>
      </c>
      <c r="E19" s="99">
        <v>1280.0</v>
      </c>
      <c r="F19" s="99">
        <v>5.0</v>
      </c>
      <c r="G19" s="99">
        <f t="shared" si="1"/>
        <v>6400</v>
      </c>
      <c r="H19" s="99">
        <v>25000.0</v>
      </c>
      <c r="I19" s="99">
        <f t="shared" si="2"/>
        <v>0.256</v>
      </c>
      <c r="J19" s="99">
        <f t="shared" si="3"/>
        <v>0.306</v>
      </c>
      <c r="K19" s="64"/>
      <c r="L19" s="99">
        <f t="shared" si="4"/>
        <v>0.27392</v>
      </c>
      <c r="M19" s="99">
        <v>289.8</v>
      </c>
      <c r="N19" s="99">
        <f t="shared" si="5"/>
        <v>0.011592</v>
      </c>
      <c r="O19" s="99">
        <f t="shared" si="6"/>
        <v>0.285512</v>
      </c>
      <c r="P19" s="99">
        <f t="shared" si="7"/>
        <v>0.0142756</v>
      </c>
      <c r="Q19" s="99">
        <f t="shared" si="8"/>
        <v>0.071378</v>
      </c>
      <c r="R19" s="99">
        <f t="shared" si="9"/>
        <v>0.3711656</v>
      </c>
      <c r="S19" s="98">
        <f t="shared" si="10"/>
        <v>0.397147192</v>
      </c>
      <c r="T19" s="39" t="s">
        <v>629</v>
      </c>
      <c r="U19" s="39" t="s">
        <v>630</v>
      </c>
      <c r="V19" s="95"/>
      <c r="W19" s="95"/>
      <c r="X19" s="95"/>
      <c r="Y19" s="95"/>
      <c r="Z19" s="95"/>
      <c r="AA19" s="95"/>
      <c r="AB19" s="95"/>
      <c r="AC19" s="95"/>
      <c r="AD19" s="95"/>
      <c r="AE19" s="95"/>
    </row>
    <row r="20">
      <c r="A20" s="63" t="s">
        <v>433</v>
      </c>
      <c r="B20" s="96" t="s">
        <v>628</v>
      </c>
      <c r="C20" s="79" t="s">
        <v>434</v>
      </c>
      <c r="D20" s="79" t="s">
        <v>435</v>
      </c>
      <c r="E20" s="99">
        <v>3900.0</v>
      </c>
      <c r="F20" s="97">
        <v>5.0</v>
      </c>
      <c r="G20" s="97">
        <f t="shared" si="1"/>
        <v>19500</v>
      </c>
      <c r="H20" s="99">
        <v>104000.0</v>
      </c>
      <c r="I20" s="97">
        <f t="shared" si="2"/>
        <v>0.1875</v>
      </c>
      <c r="J20" s="97">
        <f t="shared" si="3"/>
        <v>0.2375</v>
      </c>
      <c r="K20" s="63"/>
      <c r="L20" s="97">
        <f t="shared" si="4"/>
        <v>0.200625</v>
      </c>
      <c r="M20" s="97">
        <v>1062.6</v>
      </c>
      <c r="N20" s="97">
        <f t="shared" si="5"/>
        <v>0.01021730769</v>
      </c>
      <c r="O20" s="97">
        <f t="shared" si="6"/>
        <v>0.2108423077</v>
      </c>
      <c r="P20" s="97">
        <f t="shared" si="7"/>
        <v>0.01054211538</v>
      </c>
      <c r="Q20" s="97">
        <f t="shared" si="8"/>
        <v>0.05271057692</v>
      </c>
      <c r="R20" s="97">
        <f t="shared" si="9"/>
        <v>0.274095</v>
      </c>
      <c r="S20" s="98">
        <f t="shared" si="10"/>
        <v>0.29328165</v>
      </c>
      <c r="T20" s="39" t="s">
        <v>629</v>
      </c>
      <c r="U20" s="39" t="s">
        <v>630</v>
      </c>
      <c r="V20" s="95"/>
      <c r="W20" s="95"/>
      <c r="X20" s="95"/>
      <c r="Y20" s="95"/>
      <c r="Z20" s="95"/>
      <c r="AA20" s="95"/>
      <c r="AB20" s="95"/>
      <c r="AC20" s="95"/>
      <c r="AD20" s="95"/>
      <c r="AE20" s="95"/>
    </row>
    <row r="21">
      <c r="A21" s="64" t="s">
        <v>436</v>
      </c>
      <c r="B21" s="96" t="s">
        <v>628</v>
      </c>
      <c r="C21" s="79" t="s">
        <v>437</v>
      </c>
      <c r="D21" s="79" t="s">
        <v>438</v>
      </c>
      <c r="E21" s="99">
        <v>1535.0</v>
      </c>
      <c r="F21" s="99">
        <v>5.0</v>
      </c>
      <c r="G21" s="99">
        <f t="shared" si="1"/>
        <v>7675</v>
      </c>
      <c r="H21" s="99">
        <v>10500.0</v>
      </c>
      <c r="I21" s="99">
        <f t="shared" si="2"/>
        <v>0.730952381</v>
      </c>
      <c r="J21" s="99">
        <f t="shared" si="3"/>
        <v>0.780952381</v>
      </c>
      <c r="K21" s="64"/>
      <c r="L21" s="99">
        <f t="shared" si="4"/>
        <v>0.7821190476</v>
      </c>
      <c r="M21" s="99">
        <v>252.96</v>
      </c>
      <c r="N21" s="99">
        <f t="shared" si="5"/>
        <v>0.02409142857</v>
      </c>
      <c r="O21" s="99">
        <f t="shared" si="6"/>
        <v>0.8062104762</v>
      </c>
      <c r="P21" s="99">
        <f t="shared" si="7"/>
        <v>0.04031052381</v>
      </c>
      <c r="Q21" s="99">
        <f t="shared" si="8"/>
        <v>0.201552619</v>
      </c>
      <c r="R21" s="99">
        <f t="shared" si="9"/>
        <v>1.048073619</v>
      </c>
      <c r="S21" s="98">
        <f t="shared" si="10"/>
        <v>1.121438772</v>
      </c>
      <c r="T21" s="39" t="s">
        <v>629</v>
      </c>
      <c r="U21" s="39" t="s">
        <v>630</v>
      </c>
      <c r="V21" s="95"/>
      <c r="W21" s="95"/>
      <c r="X21" s="95"/>
      <c r="Y21" s="95"/>
      <c r="Z21" s="95"/>
      <c r="AA21" s="95"/>
      <c r="AB21" s="95"/>
      <c r="AC21" s="95"/>
      <c r="AD21" s="95"/>
      <c r="AE21" s="95"/>
    </row>
    <row r="22">
      <c r="A22" s="63" t="s">
        <v>427</v>
      </c>
      <c r="B22" s="96" t="s">
        <v>628</v>
      </c>
      <c r="C22" s="79" t="s">
        <v>428</v>
      </c>
      <c r="D22" s="79" t="s">
        <v>429</v>
      </c>
      <c r="E22" s="97">
        <v>12000.0</v>
      </c>
      <c r="F22" s="97">
        <v>5.0</v>
      </c>
      <c r="G22" s="97">
        <f t="shared" si="1"/>
        <v>60000</v>
      </c>
      <c r="H22" s="97">
        <v>100000.0</v>
      </c>
      <c r="I22" s="97">
        <f t="shared" si="2"/>
        <v>0.6</v>
      </c>
      <c r="J22" s="97">
        <f t="shared" si="3"/>
        <v>0.65</v>
      </c>
      <c r="K22" s="63"/>
      <c r="L22" s="97">
        <f t="shared" si="4"/>
        <v>0.642</v>
      </c>
      <c r="M22" s="104">
        <v>1567.79</v>
      </c>
      <c r="N22" s="97">
        <f t="shared" si="5"/>
        <v>0.0156779</v>
      </c>
      <c r="O22" s="97">
        <f t="shared" si="6"/>
        <v>0.6576779</v>
      </c>
      <c r="P22" s="97">
        <f t="shared" si="7"/>
        <v>0.032883895</v>
      </c>
      <c r="Q22" s="97">
        <f t="shared" si="8"/>
        <v>0.164419475</v>
      </c>
      <c r="R22" s="97">
        <f t="shared" si="9"/>
        <v>0.85498127</v>
      </c>
      <c r="S22" s="98">
        <f t="shared" si="10"/>
        <v>0.9148299589</v>
      </c>
      <c r="T22" s="39" t="s">
        <v>631</v>
      </c>
      <c r="U22" s="98">
        <v>1.0</v>
      </c>
      <c r="V22" s="95"/>
      <c r="W22" s="95"/>
      <c r="X22" s="95"/>
      <c r="Y22" s="95"/>
      <c r="Z22" s="95"/>
      <c r="AA22" s="95"/>
      <c r="AB22" s="95"/>
      <c r="AC22" s="95"/>
      <c r="AD22" s="95"/>
      <c r="AE22" s="95"/>
    </row>
    <row r="23">
      <c r="A23" s="64" t="s">
        <v>424</v>
      </c>
      <c r="B23" s="96" t="s">
        <v>632</v>
      </c>
      <c r="C23" s="64" t="s">
        <v>425</v>
      </c>
      <c r="D23" s="64" t="s">
        <v>426</v>
      </c>
      <c r="E23" s="99">
        <v>3300.0</v>
      </c>
      <c r="F23" s="99">
        <v>5.0</v>
      </c>
      <c r="G23" s="99">
        <f t="shared" si="1"/>
        <v>16500</v>
      </c>
      <c r="H23" s="99">
        <v>10.0</v>
      </c>
      <c r="I23" s="99">
        <f t="shared" si="2"/>
        <v>1650</v>
      </c>
      <c r="J23" s="99">
        <f t="shared" si="3"/>
        <v>1650.05</v>
      </c>
      <c r="K23" s="64"/>
      <c r="L23" s="99">
        <f t="shared" si="4"/>
        <v>1765.5</v>
      </c>
      <c r="M23" s="99">
        <v>2961.0</v>
      </c>
      <c r="N23" s="99">
        <f t="shared" si="5"/>
        <v>296.1</v>
      </c>
      <c r="O23" s="99">
        <f t="shared" si="6"/>
        <v>2061.6</v>
      </c>
      <c r="P23" s="99">
        <f t="shared" si="7"/>
        <v>103.08</v>
      </c>
      <c r="Q23" s="99">
        <f t="shared" si="8"/>
        <v>515.4</v>
      </c>
      <c r="R23" s="99">
        <f t="shared" si="9"/>
        <v>2680.08</v>
      </c>
      <c r="S23" s="98">
        <f t="shared" si="10"/>
        <v>2867.6856</v>
      </c>
      <c r="T23" s="39" t="s">
        <v>633</v>
      </c>
      <c r="U23" s="98">
        <v>1.0</v>
      </c>
      <c r="V23" s="95"/>
      <c r="W23" s="95"/>
      <c r="X23" s="95"/>
      <c r="Y23" s="95"/>
      <c r="Z23" s="95"/>
      <c r="AA23" s="95"/>
      <c r="AB23" s="95"/>
      <c r="AC23" s="95"/>
      <c r="AD23" s="95"/>
      <c r="AE23" s="95"/>
    </row>
    <row r="24">
      <c r="A24" s="39" t="s">
        <v>290</v>
      </c>
      <c r="B24" s="39" t="s">
        <v>607</v>
      </c>
      <c r="C24" s="26" t="s">
        <v>291</v>
      </c>
      <c r="D24" s="26" t="s">
        <v>292</v>
      </c>
      <c r="E24" s="105">
        <v>3530.0</v>
      </c>
      <c r="F24" s="105">
        <v>5.0</v>
      </c>
      <c r="G24" s="105">
        <v>17650.0</v>
      </c>
      <c r="H24" s="105">
        <v>2000.0</v>
      </c>
      <c r="I24" s="98">
        <f t="shared" si="2"/>
        <v>8.825</v>
      </c>
      <c r="J24" s="98">
        <f t="shared" si="3"/>
        <v>8.875</v>
      </c>
      <c r="K24" s="39"/>
      <c r="L24" s="98">
        <f t="shared" si="4"/>
        <v>9.44275</v>
      </c>
      <c r="M24" s="105">
        <v>0.0</v>
      </c>
      <c r="N24" s="98">
        <f t="shared" si="5"/>
        <v>0</v>
      </c>
      <c r="O24" s="98">
        <f t="shared" si="6"/>
        <v>9.44275</v>
      </c>
      <c r="P24" s="98">
        <f t="shared" si="7"/>
        <v>0.4721375</v>
      </c>
      <c r="Q24" s="98">
        <f t="shared" si="8"/>
        <v>2.3606875</v>
      </c>
      <c r="R24" s="98">
        <f t="shared" si="9"/>
        <v>12.275575</v>
      </c>
      <c r="S24" s="98">
        <f t="shared" si="10"/>
        <v>13.13486525</v>
      </c>
      <c r="T24" s="106" t="s">
        <v>634</v>
      </c>
      <c r="U24" s="26"/>
      <c r="V24" s="107"/>
      <c r="W24" s="107"/>
      <c r="X24" s="95"/>
      <c r="Y24" s="107"/>
      <c r="Z24" s="107"/>
      <c r="AA24" s="107"/>
      <c r="AB24" s="107"/>
      <c r="AC24" s="107"/>
      <c r="AD24" s="107"/>
      <c r="AE24" s="107"/>
    </row>
    <row r="25">
      <c r="A25" s="39" t="s">
        <v>444</v>
      </c>
      <c r="B25" s="39" t="s">
        <v>613</v>
      </c>
      <c r="C25" s="81" t="s">
        <v>445</v>
      </c>
      <c r="D25" s="83" t="s">
        <v>635</v>
      </c>
      <c r="E25" s="108">
        <v>60.0</v>
      </c>
      <c r="F25" s="108">
        <v>5.0</v>
      </c>
      <c r="G25" s="108">
        <f t="shared" ref="G25:G265" si="13">E25*F25</f>
        <v>300</v>
      </c>
      <c r="H25" s="108">
        <v>1.0</v>
      </c>
      <c r="I25" s="98">
        <f t="shared" si="2"/>
        <v>300</v>
      </c>
      <c r="J25" s="98">
        <f t="shared" si="3"/>
        <v>300.05</v>
      </c>
      <c r="K25" s="39"/>
      <c r="L25" s="98">
        <f t="shared" si="4"/>
        <v>321</v>
      </c>
      <c r="M25" s="108">
        <v>100.0</v>
      </c>
      <c r="N25" s="98">
        <f t="shared" si="5"/>
        <v>100</v>
      </c>
      <c r="O25" s="98">
        <f t="shared" si="6"/>
        <v>421</v>
      </c>
      <c r="P25" s="98">
        <f t="shared" si="7"/>
        <v>21.05</v>
      </c>
      <c r="Q25" s="98">
        <f t="shared" si="8"/>
        <v>105.25</v>
      </c>
      <c r="R25" s="98">
        <f t="shared" si="9"/>
        <v>547.3</v>
      </c>
      <c r="S25" s="98">
        <f t="shared" si="10"/>
        <v>585.611</v>
      </c>
      <c r="T25" s="58"/>
      <c r="U25" s="58"/>
      <c r="V25" s="109"/>
      <c r="W25" s="109"/>
      <c r="X25" s="95"/>
      <c r="Y25" s="109"/>
      <c r="Z25" s="109"/>
      <c r="AA25" s="109"/>
      <c r="AB25" s="109"/>
      <c r="AC25" s="109"/>
      <c r="AD25" s="109"/>
      <c r="AE25" s="109"/>
    </row>
    <row r="26">
      <c r="A26" s="39" t="s">
        <v>447</v>
      </c>
      <c r="B26" s="39" t="s">
        <v>613</v>
      </c>
      <c r="C26" s="81" t="s">
        <v>448</v>
      </c>
      <c r="D26" s="83" t="s">
        <v>636</v>
      </c>
      <c r="E26" s="105">
        <v>300.0</v>
      </c>
      <c r="F26" s="105">
        <v>5.0</v>
      </c>
      <c r="G26" s="105">
        <f t="shared" si="13"/>
        <v>1500</v>
      </c>
      <c r="H26" s="105">
        <v>10.0</v>
      </c>
      <c r="I26" s="98">
        <f t="shared" si="2"/>
        <v>150</v>
      </c>
      <c r="J26" s="98">
        <f t="shared" si="3"/>
        <v>150.05</v>
      </c>
      <c r="K26" s="39"/>
      <c r="L26" s="98">
        <f t="shared" si="4"/>
        <v>160.5</v>
      </c>
      <c r="M26" s="105">
        <v>300.0</v>
      </c>
      <c r="N26" s="98">
        <f t="shared" si="5"/>
        <v>30</v>
      </c>
      <c r="O26" s="98">
        <f t="shared" si="6"/>
        <v>190.5</v>
      </c>
      <c r="P26" s="98">
        <f t="shared" si="7"/>
        <v>9.525</v>
      </c>
      <c r="Q26" s="98">
        <f t="shared" si="8"/>
        <v>47.625</v>
      </c>
      <c r="R26" s="98">
        <f t="shared" si="9"/>
        <v>247.65</v>
      </c>
      <c r="S26" s="98">
        <f t="shared" si="10"/>
        <v>264.9855</v>
      </c>
      <c r="T26" s="26"/>
      <c r="U26" s="26"/>
      <c r="V26" s="107"/>
      <c r="W26" s="107"/>
      <c r="X26" s="95"/>
      <c r="Y26" s="107"/>
      <c r="Z26" s="107"/>
      <c r="AA26" s="107"/>
      <c r="AB26" s="107"/>
      <c r="AC26" s="107"/>
      <c r="AD26" s="107"/>
      <c r="AE26" s="107"/>
    </row>
    <row r="27">
      <c r="A27" s="39" t="s">
        <v>450</v>
      </c>
      <c r="B27" s="39" t="s">
        <v>613</v>
      </c>
      <c r="C27" s="81" t="s">
        <v>451</v>
      </c>
      <c r="D27" s="81" t="s">
        <v>452</v>
      </c>
      <c r="E27" s="98">
        <v>22.0</v>
      </c>
      <c r="F27" s="98">
        <v>5.0</v>
      </c>
      <c r="G27" s="98">
        <f t="shared" si="13"/>
        <v>110</v>
      </c>
      <c r="H27" s="98">
        <v>800.0</v>
      </c>
      <c r="I27" s="98">
        <f t="shared" si="2"/>
        <v>0.1375</v>
      </c>
      <c r="J27" s="98">
        <f t="shared" si="3"/>
        <v>0.1875</v>
      </c>
      <c r="K27" s="39"/>
      <c r="L27" s="98">
        <f t="shared" si="4"/>
        <v>0.147125</v>
      </c>
      <c r="M27" s="98">
        <v>50.0</v>
      </c>
      <c r="N27" s="98">
        <f t="shared" si="5"/>
        <v>0.0625</v>
      </c>
      <c r="O27" s="98">
        <f t="shared" si="6"/>
        <v>0.209625</v>
      </c>
      <c r="P27" s="98">
        <f t="shared" si="7"/>
        <v>0.01048125</v>
      </c>
      <c r="Q27" s="98">
        <f t="shared" si="8"/>
        <v>0.05240625</v>
      </c>
      <c r="R27" s="98">
        <f t="shared" si="9"/>
        <v>0.2725125</v>
      </c>
      <c r="S27" s="98">
        <f t="shared" si="10"/>
        <v>0.291588375</v>
      </c>
      <c r="T27" s="39"/>
      <c r="U27" s="39"/>
      <c r="V27" s="95"/>
      <c r="W27" s="95"/>
      <c r="X27" s="95"/>
      <c r="Y27" s="95"/>
      <c r="Z27" s="95"/>
      <c r="AA27" s="95"/>
      <c r="AB27" s="95"/>
      <c r="AC27" s="95"/>
      <c r="AD27" s="95"/>
      <c r="AE27" s="95"/>
    </row>
    <row r="28">
      <c r="A28" s="39" t="s">
        <v>119</v>
      </c>
      <c r="B28" s="39" t="s">
        <v>607</v>
      </c>
      <c r="C28" s="26" t="s">
        <v>120</v>
      </c>
      <c r="D28" s="26" t="s">
        <v>121</v>
      </c>
      <c r="E28" s="105">
        <v>1272.5</v>
      </c>
      <c r="F28" s="105">
        <v>5.0</v>
      </c>
      <c r="G28" s="105">
        <f t="shared" si="13"/>
        <v>6362.5</v>
      </c>
      <c r="H28" s="105">
        <v>1000.0</v>
      </c>
      <c r="I28" s="98">
        <f t="shared" si="2"/>
        <v>6.3625</v>
      </c>
      <c r="J28" s="98">
        <f t="shared" si="3"/>
        <v>6.4125</v>
      </c>
      <c r="K28" s="39"/>
      <c r="L28" s="98">
        <f t="shared" si="4"/>
        <v>6.807875</v>
      </c>
      <c r="M28" s="105">
        <v>130.995</v>
      </c>
      <c r="N28" s="98">
        <f t="shared" si="5"/>
        <v>0.130995</v>
      </c>
      <c r="O28" s="98">
        <f t="shared" si="6"/>
        <v>6.93887</v>
      </c>
      <c r="P28" s="98">
        <f t="shared" si="7"/>
        <v>0.3469435</v>
      </c>
      <c r="Q28" s="98">
        <f t="shared" si="8"/>
        <v>1.7347175</v>
      </c>
      <c r="R28" s="98">
        <f t="shared" si="9"/>
        <v>9.020531</v>
      </c>
      <c r="S28" s="98">
        <f t="shared" si="10"/>
        <v>9.65196817</v>
      </c>
      <c r="T28" s="26" t="s">
        <v>637</v>
      </c>
      <c r="U28" s="105">
        <v>1.0</v>
      </c>
      <c r="V28" s="107"/>
      <c r="W28" s="107"/>
      <c r="X28" s="95"/>
      <c r="Y28" s="107"/>
      <c r="Z28" s="107"/>
      <c r="AA28" s="107"/>
      <c r="AB28" s="107"/>
      <c r="AC28" s="107"/>
      <c r="AD28" s="107"/>
      <c r="AE28" s="107"/>
    </row>
    <row r="29">
      <c r="A29" s="39" t="s">
        <v>122</v>
      </c>
      <c r="B29" s="39" t="s">
        <v>607</v>
      </c>
      <c r="C29" s="39" t="s">
        <v>123</v>
      </c>
      <c r="D29" s="26" t="s">
        <v>124</v>
      </c>
      <c r="E29" s="98">
        <v>392.5</v>
      </c>
      <c r="F29" s="98">
        <v>5.0</v>
      </c>
      <c r="G29" s="98">
        <f t="shared" si="13"/>
        <v>1962.5</v>
      </c>
      <c r="H29" s="98">
        <v>1000.0</v>
      </c>
      <c r="I29" s="98">
        <f t="shared" si="2"/>
        <v>1.9625</v>
      </c>
      <c r="J29" s="98">
        <f t="shared" si="3"/>
        <v>2.0125</v>
      </c>
      <c r="K29" s="39"/>
      <c r="L29" s="98">
        <f t="shared" si="4"/>
        <v>2.099875</v>
      </c>
      <c r="M29" s="98">
        <v>130.995</v>
      </c>
      <c r="N29" s="98">
        <f t="shared" si="5"/>
        <v>0.130995</v>
      </c>
      <c r="O29" s="98">
        <f t="shared" si="6"/>
        <v>2.23087</v>
      </c>
      <c r="P29" s="98">
        <f t="shared" si="7"/>
        <v>0.1115435</v>
      </c>
      <c r="Q29" s="98">
        <f t="shared" si="8"/>
        <v>0.5577175</v>
      </c>
      <c r="R29" s="98">
        <f t="shared" si="9"/>
        <v>2.900131</v>
      </c>
      <c r="S29" s="98">
        <f t="shared" si="10"/>
        <v>3.10314017</v>
      </c>
      <c r="T29" s="39" t="s">
        <v>637</v>
      </c>
      <c r="U29" s="98">
        <v>1.0</v>
      </c>
      <c r="V29" s="95"/>
      <c r="W29" s="95"/>
      <c r="X29" s="95"/>
      <c r="Y29" s="95"/>
      <c r="Z29" s="95"/>
      <c r="AA29" s="95"/>
      <c r="AB29" s="95"/>
      <c r="AC29" s="95"/>
      <c r="AD29" s="95"/>
      <c r="AE29" s="95"/>
    </row>
    <row r="30">
      <c r="A30" s="39" t="s">
        <v>125</v>
      </c>
      <c r="B30" s="39" t="s">
        <v>607</v>
      </c>
      <c r="C30" s="26" t="s">
        <v>126</v>
      </c>
      <c r="D30" s="26" t="s">
        <v>127</v>
      </c>
      <c r="E30" s="105">
        <v>612.5</v>
      </c>
      <c r="F30" s="105">
        <v>5.0</v>
      </c>
      <c r="G30" s="105">
        <f t="shared" si="13"/>
        <v>3062.5</v>
      </c>
      <c r="H30" s="105">
        <v>1000.0</v>
      </c>
      <c r="I30" s="98">
        <f t="shared" si="2"/>
        <v>3.0625</v>
      </c>
      <c r="J30" s="98">
        <f t="shared" si="3"/>
        <v>3.1125</v>
      </c>
      <c r="K30" s="39"/>
      <c r="L30" s="98">
        <f t="shared" si="4"/>
        <v>3.276875</v>
      </c>
      <c r="M30" s="105">
        <v>130.995</v>
      </c>
      <c r="N30" s="98">
        <f t="shared" si="5"/>
        <v>0.130995</v>
      </c>
      <c r="O30" s="98">
        <f t="shared" si="6"/>
        <v>3.40787</v>
      </c>
      <c r="P30" s="98">
        <f t="shared" si="7"/>
        <v>0.1703935</v>
      </c>
      <c r="Q30" s="98">
        <f t="shared" si="8"/>
        <v>0.8519675</v>
      </c>
      <c r="R30" s="98">
        <f t="shared" si="9"/>
        <v>4.430231</v>
      </c>
      <c r="S30" s="98">
        <f t="shared" si="10"/>
        <v>4.74034717</v>
      </c>
      <c r="T30" s="26" t="s">
        <v>637</v>
      </c>
      <c r="U30" s="105">
        <v>1.0</v>
      </c>
      <c r="V30" s="107"/>
      <c r="W30" s="107"/>
      <c r="X30" s="95"/>
      <c r="Y30" s="107"/>
      <c r="Z30" s="107"/>
      <c r="AA30" s="107"/>
      <c r="AB30" s="107"/>
      <c r="AC30" s="107"/>
      <c r="AD30" s="107"/>
      <c r="AE30" s="107"/>
    </row>
    <row r="31">
      <c r="A31" s="39" t="s">
        <v>128</v>
      </c>
      <c r="B31" s="39" t="s">
        <v>607</v>
      </c>
      <c r="C31" s="39" t="s">
        <v>129</v>
      </c>
      <c r="D31" s="26" t="s">
        <v>130</v>
      </c>
      <c r="E31" s="98">
        <v>612.5</v>
      </c>
      <c r="F31" s="98">
        <v>5.0</v>
      </c>
      <c r="G31" s="98">
        <f t="shared" si="13"/>
        <v>3062.5</v>
      </c>
      <c r="H31" s="98">
        <v>1000.0</v>
      </c>
      <c r="I31" s="98">
        <f t="shared" si="2"/>
        <v>3.0625</v>
      </c>
      <c r="J31" s="98">
        <f t="shared" si="3"/>
        <v>3.1125</v>
      </c>
      <c r="K31" s="39"/>
      <c r="L31" s="98">
        <f t="shared" si="4"/>
        <v>3.276875</v>
      </c>
      <c r="M31" s="98">
        <v>130.995</v>
      </c>
      <c r="N31" s="98">
        <f t="shared" si="5"/>
        <v>0.130995</v>
      </c>
      <c r="O31" s="98">
        <f t="shared" si="6"/>
        <v>3.40787</v>
      </c>
      <c r="P31" s="98">
        <f t="shared" si="7"/>
        <v>0.1703935</v>
      </c>
      <c r="Q31" s="98">
        <f t="shared" si="8"/>
        <v>0.8519675</v>
      </c>
      <c r="R31" s="98">
        <f t="shared" si="9"/>
        <v>4.430231</v>
      </c>
      <c r="S31" s="98">
        <f t="shared" si="10"/>
        <v>4.74034717</v>
      </c>
      <c r="T31" s="39" t="s">
        <v>637</v>
      </c>
      <c r="U31" s="98">
        <v>1.0</v>
      </c>
      <c r="V31" s="95"/>
      <c r="W31" s="95"/>
      <c r="X31" s="95"/>
      <c r="Y31" s="95"/>
      <c r="Z31" s="95"/>
      <c r="AA31" s="95"/>
      <c r="AB31" s="95"/>
      <c r="AC31" s="95"/>
      <c r="AD31" s="95"/>
      <c r="AE31" s="95"/>
    </row>
    <row r="32">
      <c r="A32" s="39" t="s">
        <v>442</v>
      </c>
      <c r="B32" s="39" t="s">
        <v>613</v>
      </c>
      <c r="C32" s="26" t="s">
        <v>443</v>
      </c>
      <c r="D32" s="61" t="s">
        <v>443</v>
      </c>
      <c r="E32" s="105">
        <v>96.0</v>
      </c>
      <c r="F32" s="105">
        <v>5.0</v>
      </c>
      <c r="G32" s="105">
        <f t="shared" si="13"/>
        <v>480</v>
      </c>
      <c r="H32" s="105">
        <v>1.0</v>
      </c>
      <c r="I32" s="98">
        <f t="shared" si="2"/>
        <v>480</v>
      </c>
      <c r="J32" s="98">
        <f t="shared" si="3"/>
        <v>480.05</v>
      </c>
      <c r="K32" s="39"/>
      <c r="L32" s="98">
        <f t="shared" si="4"/>
        <v>513.6</v>
      </c>
      <c r="M32" s="105">
        <v>179.36</v>
      </c>
      <c r="N32" s="98">
        <f t="shared" si="5"/>
        <v>179.36</v>
      </c>
      <c r="O32" s="98">
        <f t="shared" si="6"/>
        <v>692.96</v>
      </c>
      <c r="P32" s="98">
        <f t="shared" si="7"/>
        <v>34.648</v>
      </c>
      <c r="Q32" s="98">
        <f t="shared" si="8"/>
        <v>173.24</v>
      </c>
      <c r="R32" s="98">
        <f t="shared" si="9"/>
        <v>900.848</v>
      </c>
      <c r="S32" s="98">
        <f t="shared" si="10"/>
        <v>963.90736</v>
      </c>
      <c r="T32" s="26" t="s">
        <v>633</v>
      </c>
      <c r="U32" s="105">
        <v>1.0</v>
      </c>
      <c r="V32" s="107"/>
      <c r="W32" s="107"/>
      <c r="X32" s="95"/>
      <c r="Y32" s="107"/>
      <c r="Z32" s="107"/>
      <c r="AA32" s="107"/>
      <c r="AB32" s="107"/>
      <c r="AC32" s="107"/>
      <c r="AD32" s="107"/>
      <c r="AE32" s="107"/>
    </row>
    <row r="33">
      <c r="A33" s="39" t="s">
        <v>453</v>
      </c>
      <c r="B33" s="39" t="s">
        <v>607</v>
      </c>
      <c r="C33" s="39" t="s">
        <v>454</v>
      </c>
      <c r="D33" s="39" t="s">
        <v>455</v>
      </c>
      <c r="E33" s="98">
        <v>128.367</v>
      </c>
      <c r="F33" s="98">
        <v>5.0</v>
      </c>
      <c r="G33" s="98">
        <f t="shared" si="13"/>
        <v>641.835</v>
      </c>
      <c r="H33" s="98">
        <v>1200.0</v>
      </c>
      <c r="I33" s="98">
        <f t="shared" si="2"/>
        <v>0.5348625</v>
      </c>
      <c r="J33" s="98">
        <f t="shared" si="3"/>
        <v>0.5848625</v>
      </c>
      <c r="K33" s="39"/>
      <c r="L33" s="98">
        <f t="shared" si="4"/>
        <v>0.572302875</v>
      </c>
      <c r="M33" s="98">
        <v>267.99</v>
      </c>
      <c r="N33" s="98">
        <f t="shared" si="5"/>
        <v>0.223325</v>
      </c>
      <c r="O33" s="98">
        <f t="shared" si="6"/>
        <v>0.795627875</v>
      </c>
      <c r="P33" s="98">
        <f t="shared" si="7"/>
        <v>0.03978139375</v>
      </c>
      <c r="Q33" s="98">
        <f t="shared" si="8"/>
        <v>0.1989069688</v>
      </c>
      <c r="R33" s="98">
        <f t="shared" si="9"/>
        <v>1.034316238</v>
      </c>
      <c r="S33" s="98">
        <f t="shared" si="10"/>
        <v>1.106718374</v>
      </c>
      <c r="T33" s="39" t="s">
        <v>638</v>
      </c>
      <c r="U33" s="98">
        <v>1.0</v>
      </c>
      <c r="V33" s="95"/>
      <c r="W33" s="95"/>
      <c r="X33" s="95"/>
      <c r="Y33" s="95"/>
      <c r="Z33" s="95"/>
      <c r="AA33" s="95"/>
      <c r="AB33" s="95"/>
      <c r="AC33" s="95"/>
      <c r="AD33" s="95"/>
      <c r="AE33" s="95"/>
    </row>
    <row r="34">
      <c r="A34" s="39" t="s">
        <v>456</v>
      </c>
      <c r="B34" s="39" t="s">
        <v>607</v>
      </c>
      <c r="C34" s="26" t="s">
        <v>457</v>
      </c>
      <c r="D34" s="39" t="s">
        <v>458</v>
      </c>
      <c r="E34" s="105">
        <v>52.867</v>
      </c>
      <c r="F34" s="105">
        <v>5.0</v>
      </c>
      <c r="G34" s="105">
        <f t="shared" si="13"/>
        <v>264.335</v>
      </c>
      <c r="H34" s="105">
        <v>1500.0</v>
      </c>
      <c r="I34" s="98">
        <f t="shared" si="2"/>
        <v>0.1762233333</v>
      </c>
      <c r="J34" s="98">
        <f t="shared" si="3"/>
        <v>0.2262233333</v>
      </c>
      <c r="K34" s="39"/>
      <c r="L34" s="98">
        <f t="shared" si="4"/>
        <v>0.1885589667</v>
      </c>
      <c r="M34" s="105">
        <v>6.7</v>
      </c>
      <c r="N34" s="98">
        <f t="shared" si="5"/>
        <v>0.004466666667</v>
      </c>
      <c r="O34" s="98">
        <f t="shared" si="6"/>
        <v>0.1930256333</v>
      </c>
      <c r="P34" s="98">
        <f t="shared" si="7"/>
        <v>0.009651281667</v>
      </c>
      <c r="Q34" s="98">
        <f t="shared" si="8"/>
        <v>0.04825640833</v>
      </c>
      <c r="R34" s="98">
        <f t="shared" si="9"/>
        <v>0.2509333233</v>
      </c>
      <c r="S34" s="98">
        <f t="shared" si="10"/>
        <v>0.268498656</v>
      </c>
      <c r="T34" s="26" t="s">
        <v>638</v>
      </c>
      <c r="U34" s="105">
        <v>1.0</v>
      </c>
      <c r="V34" s="107"/>
      <c r="W34" s="107"/>
      <c r="X34" s="95"/>
      <c r="Y34" s="107"/>
      <c r="Z34" s="107"/>
      <c r="AA34" s="107"/>
      <c r="AB34" s="107"/>
      <c r="AC34" s="107"/>
      <c r="AD34" s="107"/>
      <c r="AE34" s="107"/>
    </row>
    <row r="35">
      <c r="A35" s="39" t="s">
        <v>459</v>
      </c>
      <c r="B35" s="39" t="s">
        <v>607</v>
      </c>
      <c r="C35" s="39" t="s">
        <v>460</v>
      </c>
      <c r="D35" s="39" t="s">
        <v>461</v>
      </c>
      <c r="E35" s="108">
        <v>63.367</v>
      </c>
      <c r="F35" s="108">
        <v>5.0</v>
      </c>
      <c r="G35" s="108">
        <f t="shared" si="13"/>
        <v>316.835</v>
      </c>
      <c r="H35" s="108">
        <v>1000.0</v>
      </c>
      <c r="I35" s="98">
        <f t="shared" si="2"/>
        <v>0.316835</v>
      </c>
      <c r="J35" s="98">
        <f t="shared" si="3"/>
        <v>0.366835</v>
      </c>
      <c r="K35" s="39"/>
      <c r="L35" s="98">
        <f t="shared" si="4"/>
        <v>0.33901345</v>
      </c>
      <c r="M35" s="108">
        <v>22.33</v>
      </c>
      <c r="N35" s="98">
        <f t="shared" si="5"/>
        <v>0.02233</v>
      </c>
      <c r="O35" s="98">
        <f t="shared" si="6"/>
        <v>0.36134345</v>
      </c>
      <c r="P35" s="98">
        <f t="shared" si="7"/>
        <v>0.0180671725</v>
      </c>
      <c r="Q35" s="98">
        <f t="shared" si="8"/>
        <v>0.0903358625</v>
      </c>
      <c r="R35" s="98">
        <f t="shared" si="9"/>
        <v>0.469746485</v>
      </c>
      <c r="S35" s="98">
        <f t="shared" si="10"/>
        <v>0.502628739</v>
      </c>
      <c r="T35" s="58" t="s">
        <v>638</v>
      </c>
      <c r="U35" s="108">
        <v>1.0</v>
      </c>
      <c r="V35" s="109"/>
      <c r="W35" s="109"/>
      <c r="X35" s="95"/>
      <c r="Y35" s="109"/>
      <c r="Z35" s="109"/>
      <c r="AA35" s="109"/>
      <c r="AB35" s="109"/>
      <c r="AC35" s="109"/>
      <c r="AD35" s="109"/>
      <c r="AE35" s="109"/>
    </row>
    <row r="36">
      <c r="A36" s="39" t="s">
        <v>462</v>
      </c>
      <c r="B36" s="39" t="s">
        <v>613</v>
      </c>
      <c r="C36" s="26" t="s">
        <v>463</v>
      </c>
      <c r="D36" s="26" t="s">
        <v>464</v>
      </c>
      <c r="E36" s="105">
        <v>25.0</v>
      </c>
      <c r="F36" s="105">
        <v>5.0</v>
      </c>
      <c r="G36" s="105">
        <f t="shared" si="13"/>
        <v>125</v>
      </c>
      <c r="H36" s="105">
        <v>500.0</v>
      </c>
      <c r="I36" s="98">
        <f t="shared" si="2"/>
        <v>0.25</v>
      </c>
      <c r="J36" s="98">
        <f t="shared" si="3"/>
        <v>0.3</v>
      </c>
      <c r="K36" s="39"/>
      <c r="L36" s="98">
        <f t="shared" si="4"/>
        <v>0.2675</v>
      </c>
      <c r="M36" s="105">
        <v>35.0</v>
      </c>
      <c r="N36" s="98">
        <f t="shared" si="5"/>
        <v>0.07</v>
      </c>
      <c r="O36" s="98">
        <f t="shared" si="6"/>
        <v>0.3375</v>
      </c>
      <c r="P36" s="98">
        <f t="shared" si="7"/>
        <v>0.016875</v>
      </c>
      <c r="Q36" s="98">
        <f t="shared" si="8"/>
        <v>0.084375</v>
      </c>
      <c r="R36" s="98">
        <f t="shared" si="9"/>
        <v>0.43875</v>
      </c>
      <c r="S36" s="98">
        <f t="shared" si="10"/>
        <v>0.4694625</v>
      </c>
      <c r="T36" s="26"/>
      <c r="U36" s="26"/>
      <c r="V36" s="107"/>
      <c r="W36" s="107"/>
      <c r="X36" s="95"/>
      <c r="Y36" s="107"/>
      <c r="Z36" s="107"/>
      <c r="AA36" s="107"/>
      <c r="AB36" s="107"/>
      <c r="AC36" s="107"/>
      <c r="AD36" s="107"/>
      <c r="AE36" s="107"/>
    </row>
    <row r="37">
      <c r="A37" s="39" t="s">
        <v>465</v>
      </c>
      <c r="B37" s="39" t="s">
        <v>613</v>
      </c>
      <c r="C37" s="81" t="s">
        <v>466</v>
      </c>
      <c r="D37" s="81" t="s">
        <v>467</v>
      </c>
      <c r="E37" s="108">
        <v>917.4</v>
      </c>
      <c r="F37" s="108">
        <v>5.0</v>
      </c>
      <c r="G37" s="108">
        <f t="shared" si="13"/>
        <v>4587</v>
      </c>
      <c r="H37" s="108">
        <v>26400.0</v>
      </c>
      <c r="I37" s="98">
        <f t="shared" si="2"/>
        <v>0.17375</v>
      </c>
      <c r="J37" s="98">
        <f t="shared" si="3"/>
        <v>0.22375</v>
      </c>
      <c r="K37" s="39"/>
      <c r="L37" s="98">
        <f t="shared" si="4"/>
        <v>0.1859125</v>
      </c>
      <c r="M37" s="108">
        <v>683.135</v>
      </c>
      <c r="N37" s="98">
        <f t="shared" si="5"/>
        <v>0.02587632576</v>
      </c>
      <c r="O37" s="98">
        <f t="shared" si="6"/>
        <v>0.2117888258</v>
      </c>
      <c r="P37" s="98">
        <f t="shared" si="7"/>
        <v>0.01058944129</v>
      </c>
      <c r="Q37" s="98">
        <f t="shared" si="8"/>
        <v>0.05294720644</v>
      </c>
      <c r="R37" s="98">
        <f t="shared" si="9"/>
        <v>0.2753254735</v>
      </c>
      <c r="S37" s="98">
        <f t="shared" si="10"/>
        <v>0.2945982566</v>
      </c>
      <c r="T37" s="58"/>
      <c r="U37" s="58"/>
      <c r="V37" s="109"/>
      <c r="W37" s="109"/>
      <c r="X37" s="95"/>
      <c r="Y37" s="109"/>
      <c r="Z37" s="109"/>
      <c r="AA37" s="109"/>
      <c r="AB37" s="109"/>
      <c r="AC37" s="109"/>
      <c r="AD37" s="109"/>
      <c r="AE37" s="109"/>
    </row>
    <row r="38">
      <c r="A38" s="39" t="s">
        <v>468</v>
      </c>
      <c r="B38" s="39" t="s">
        <v>613</v>
      </c>
      <c r="C38" s="81" t="s">
        <v>469</v>
      </c>
      <c r="D38" s="81" t="s">
        <v>470</v>
      </c>
      <c r="E38" s="105">
        <v>403.2</v>
      </c>
      <c r="F38" s="105">
        <v>5.0</v>
      </c>
      <c r="G38" s="105">
        <f t="shared" si="13"/>
        <v>2016</v>
      </c>
      <c r="H38" s="105">
        <v>11200.0</v>
      </c>
      <c r="I38" s="98">
        <f t="shared" si="2"/>
        <v>0.18</v>
      </c>
      <c r="J38" s="98">
        <f t="shared" si="3"/>
        <v>0.23</v>
      </c>
      <c r="K38" s="39"/>
      <c r="L38" s="98">
        <f t="shared" si="4"/>
        <v>0.1926</v>
      </c>
      <c r="M38" s="105">
        <v>289.815</v>
      </c>
      <c r="N38" s="98">
        <f t="shared" si="5"/>
        <v>0.02587633929</v>
      </c>
      <c r="O38" s="98">
        <f t="shared" si="6"/>
        <v>0.2184763393</v>
      </c>
      <c r="P38" s="98">
        <f t="shared" si="7"/>
        <v>0.01092381696</v>
      </c>
      <c r="Q38" s="98">
        <f t="shared" si="8"/>
        <v>0.05461908482</v>
      </c>
      <c r="R38" s="98">
        <f t="shared" si="9"/>
        <v>0.2840192411</v>
      </c>
      <c r="S38" s="98">
        <f t="shared" si="10"/>
        <v>0.3039005879</v>
      </c>
      <c r="T38" s="26"/>
      <c r="U38" s="26"/>
      <c r="V38" s="107"/>
      <c r="W38" s="107"/>
      <c r="X38" s="95"/>
      <c r="Y38" s="107"/>
      <c r="Z38" s="107"/>
      <c r="AA38" s="107"/>
      <c r="AB38" s="107"/>
      <c r="AC38" s="107"/>
      <c r="AD38" s="107"/>
      <c r="AE38" s="107"/>
    </row>
    <row r="39">
      <c r="A39" s="39" t="s">
        <v>471</v>
      </c>
      <c r="B39" s="39" t="s">
        <v>613</v>
      </c>
      <c r="C39" s="81" t="s">
        <v>472</v>
      </c>
      <c r="D39" s="81" t="s">
        <v>473</v>
      </c>
      <c r="E39" s="105">
        <v>28.0</v>
      </c>
      <c r="F39" s="105">
        <v>5.0</v>
      </c>
      <c r="G39" s="105">
        <f t="shared" si="13"/>
        <v>140</v>
      </c>
      <c r="H39" s="105">
        <v>1.0</v>
      </c>
      <c r="I39" s="98">
        <f t="shared" si="2"/>
        <v>140</v>
      </c>
      <c r="J39" s="98">
        <f t="shared" si="3"/>
        <v>140.05</v>
      </c>
      <c r="K39" s="39"/>
      <c r="L39" s="98">
        <f t="shared" si="4"/>
        <v>149.8</v>
      </c>
      <c r="M39" s="105">
        <v>35.0</v>
      </c>
      <c r="N39" s="98">
        <f t="shared" si="5"/>
        <v>35</v>
      </c>
      <c r="O39" s="98">
        <f t="shared" si="6"/>
        <v>184.8</v>
      </c>
      <c r="P39" s="98">
        <f t="shared" si="7"/>
        <v>9.24</v>
      </c>
      <c r="Q39" s="98">
        <f t="shared" si="8"/>
        <v>46.2</v>
      </c>
      <c r="R39" s="98">
        <f t="shared" si="9"/>
        <v>240.24</v>
      </c>
      <c r="S39" s="98">
        <f t="shared" si="10"/>
        <v>257.0568</v>
      </c>
      <c r="T39" s="26"/>
      <c r="U39" s="26"/>
      <c r="V39" s="107"/>
      <c r="W39" s="107"/>
      <c r="X39" s="95"/>
      <c r="Y39" s="107"/>
      <c r="Z39" s="107"/>
      <c r="AA39" s="107"/>
      <c r="AB39" s="107"/>
      <c r="AC39" s="107"/>
      <c r="AD39" s="107"/>
      <c r="AE39" s="107"/>
    </row>
    <row r="40">
      <c r="A40" s="39" t="s">
        <v>474</v>
      </c>
      <c r="B40" s="39" t="s">
        <v>613</v>
      </c>
      <c r="C40" s="81" t="s">
        <v>475</v>
      </c>
      <c r="D40" s="81" t="s">
        <v>476</v>
      </c>
      <c r="E40" s="108">
        <v>270.0</v>
      </c>
      <c r="F40" s="108">
        <v>5.0</v>
      </c>
      <c r="G40" s="108">
        <f t="shared" si="13"/>
        <v>1350</v>
      </c>
      <c r="H40" s="108">
        <v>12.0</v>
      </c>
      <c r="I40" s="98">
        <f t="shared" si="2"/>
        <v>112.5</v>
      </c>
      <c r="J40" s="98">
        <f t="shared" si="3"/>
        <v>112.55</v>
      </c>
      <c r="K40" s="39"/>
      <c r="L40" s="98">
        <f t="shared" si="4"/>
        <v>120.375</v>
      </c>
      <c r="M40" s="108">
        <v>243.0</v>
      </c>
      <c r="N40" s="98">
        <f t="shared" si="5"/>
        <v>20.25</v>
      </c>
      <c r="O40" s="98">
        <f t="shared" si="6"/>
        <v>140.625</v>
      </c>
      <c r="P40" s="98">
        <f t="shared" si="7"/>
        <v>7.03125</v>
      </c>
      <c r="Q40" s="98">
        <f t="shared" si="8"/>
        <v>35.15625</v>
      </c>
      <c r="R40" s="98">
        <f t="shared" si="9"/>
        <v>182.8125</v>
      </c>
      <c r="S40" s="98">
        <f t="shared" si="10"/>
        <v>195.609375</v>
      </c>
      <c r="T40" s="58" t="s">
        <v>639</v>
      </c>
      <c r="U40" s="108">
        <v>1.0</v>
      </c>
      <c r="V40" s="109"/>
      <c r="W40" s="109"/>
      <c r="X40" s="95"/>
      <c r="Y40" s="109"/>
      <c r="Z40" s="109"/>
      <c r="AA40" s="109"/>
      <c r="AB40" s="109"/>
      <c r="AC40" s="109"/>
      <c r="AD40" s="109"/>
      <c r="AE40" s="109"/>
    </row>
    <row r="41">
      <c r="A41" s="39" t="s">
        <v>477</v>
      </c>
      <c r="B41" s="39" t="s">
        <v>613</v>
      </c>
      <c r="C41" s="81" t="s">
        <v>478</v>
      </c>
      <c r="D41" s="81" t="s">
        <v>479</v>
      </c>
      <c r="E41" s="105">
        <v>18.0</v>
      </c>
      <c r="F41" s="105">
        <v>5.0</v>
      </c>
      <c r="G41" s="105">
        <f t="shared" si="13"/>
        <v>90</v>
      </c>
      <c r="H41" s="105">
        <v>1.0</v>
      </c>
      <c r="I41" s="98">
        <f t="shared" si="2"/>
        <v>90</v>
      </c>
      <c r="J41" s="98">
        <f t="shared" si="3"/>
        <v>90.05</v>
      </c>
      <c r="K41" s="39"/>
      <c r="L41" s="98">
        <f t="shared" si="4"/>
        <v>96.3</v>
      </c>
      <c r="M41" s="105">
        <v>35.0</v>
      </c>
      <c r="N41" s="98">
        <f t="shared" si="5"/>
        <v>35</v>
      </c>
      <c r="O41" s="98">
        <f t="shared" si="6"/>
        <v>131.3</v>
      </c>
      <c r="P41" s="98">
        <f t="shared" si="7"/>
        <v>6.565</v>
      </c>
      <c r="Q41" s="98">
        <f t="shared" si="8"/>
        <v>32.825</v>
      </c>
      <c r="R41" s="98">
        <f t="shared" si="9"/>
        <v>170.69</v>
      </c>
      <c r="S41" s="98">
        <f t="shared" si="10"/>
        <v>182.6383</v>
      </c>
      <c r="T41" s="26"/>
      <c r="U41" s="26"/>
      <c r="V41" s="107"/>
      <c r="W41" s="107"/>
      <c r="X41" s="95"/>
      <c r="Y41" s="107"/>
      <c r="Z41" s="107"/>
      <c r="AA41" s="107"/>
      <c r="AB41" s="107"/>
      <c r="AC41" s="107"/>
      <c r="AD41" s="107"/>
      <c r="AE41" s="107"/>
    </row>
    <row r="42">
      <c r="A42" s="39" t="s">
        <v>640</v>
      </c>
      <c r="B42" s="39" t="s">
        <v>613</v>
      </c>
      <c r="C42" s="81" t="s">
        <v>641</v>
      </c>
      <c r="D42" s="81" t="s">
        <v>641</v>
      </c>
      <c r="E42" s="108">
        <v>62.0</v>
      </c>
      <c r="F42" s="108">
        <v>5.0</v>
      </c>
      <c r="G42" s="108">
        <f t="shared" si="13"/>
        <v>310</v>
      </c>
      <c r="H42" s="108">
        <v>50.0</v>
      </c>
      <c r="I42" s="98">
        <f t="shared" si="2"/>
        <v>6.2</v>
      </c>
      <c r="J42" s="98">
        <f t="shared" si="3"/>
        <v>6.25</v>
      </c>
      <c r="K42" s="39"/>
      <c r="L42" s="98">
        <f t="shared" si="4"/>
        <v>6.634</v>
      </c>
      <c r="M42" s="108">
        <v>90.0</v>
      </c>
      <c r="N42" s="98">
        <f t="shared" si="5"/>
        <v>1.8</v>
      </c>
      <c r="O42" s="98">
        <f t="shared" si="6"/>
        <v>8.434</v>
      </c>
      <c r="P42" s="98">
        <f t="shared" si="7"/>
        <v>0.4217</v>
      </c>
      <c r="Q42" s="98">
        <f t="shared" si="8"/>
        <v>2.1085</v>
      </c>
      <c r="R42" s="98">
        <f t="shared" si="9"/>
        <v>10.9642</v>
      </c>
      <c r="S42" s="98">
        <f t="shared" si="10"/>
        <v>11.731694</v>
      </c>
      <c r="T42" s="58"/>
      <c r="U42" s="58"/>
      <c r="V42" s="109"/>
      <c r="W42" s="109"/>
      <c r="X42" s="95"/>
      <c r="Y42" s="109"/>
      <c r="Z42" s="109"/>
      <c r="AA42" s="109"/>
      <c r="AB42" s="109"/>
      <c r="AC42" s="109"/>
      <c r="AD42" s="109"/>
      <c r="AE42" s="109"/>
    </row>
    <row r="43">
      <c r="A43" s="39" t="s">
        <v>642</v>
      </c>
      <c r="B43" s="39" t="s">
        <v>613</v>
      </c>
      <c r="C43" s="81" t="s">
        <v>643</v>
      </c>
      <c r="D43" s="81" t="s">
        <v>643</v>
      </c>
      <c r="E43" s="105">
        <v>13.0</v>
      </c>
      <c r="F43" s="105">
        <v>5.0</v>
      </c>
      <c r="G43" s="105">
        <f t="shared" si="13"/>
        <v>65</v>
      </c>
      <c r="H43" s="105">
        <v>850.0</v>
      </c>
      <c r="I43" s="98">
        <f t="shared" si="2"/>
        <v>0.07647058824</v>
      </c>
      <c r="J43" s="98">
        <f t="shared" si="3"/>
        <v>0.1264705882</v>
      </c>
      <c r="K43" s="39"/>
      <c r="L43" s="98">
        <f t="shared" si="4"/>
        <v>0.08182352941</v>
      </c>
      <c r="M43" s="105">
        <v>50.0</v>
      </c>
      <c r="N43" s="98">
        <f t="shared" si="5"/>
        <v>0.05882352941</v>
      </c>
      <c r="O43" s="98">
        <f t="shared" si="6"/>
        <v>0.1406470588</v>
      </c>
      <c r="P43" s="98">
        <f t="shared" si="7"/>
        <v>0.007032352941</v>
      </c>
      <c r="Q43" s="98">
        <f t="shared" si="8"/>
        <v>0.03516176471</v>
      </c>
      <c r="R43" s="98">
        <f t="shared" si="9"/>
        <v>0.1828411765</v>
      </c>
      <c r="S43" s="98">
        <f t="shared" si="10"/>
        <v>0.1956400588</v>
      </c>
      <c r="T43" s="26"/>
      <c r="U43" s="26"/>
      <c r="V43" s="107"/>
      <c r="W43" s="107"/>
      <c r="X43" s="95"/>
      <c r="Y43" s="107"/>
      <c r="Z43" s="107"/>
      <c r="AA43" s="107"/>
      <c r="AB43" s="107"/>
      <c r="AC43" s="107"/>
      <c r="AD43" s="107"/>
      <c r="AE43" s="107"/>
    </row>
    <row r="44">
      <c r="A44" s="39" t="s">
        <v>480</v>
      </c>
      <c r="B44" s="39" t="s">
        <v>644</v>
      </c>
      <c r="C44" s="26" t="s">
        <v>481</v>
      </c>
      <c r="D44" s="26" t="s">
        <v>481</v>
      </c>
      <c r="E44" s="105">
        <v>381.63</v>
      </c>
      <c r="F44" s="105">
        <v>5.0</v>
      </c>
      <c r="G44" s="105">
        <f t="shared" si="13"/>
        <v>1908.15</v>
      </c>
      <c r="H44" s="105">
        <v>12000.0</v>
      </c>
      <c r="I44" s="98">
        <f t="shared" si="2"/>
        <v>0.1590125</v>
      </c>
      <c r="J44" s="98">
        <f t="shared" si="3"/>
        <v>0.2090125</v>
      </c>
      <c r="K44" s="39"/>
      <c r="L44" s="98">
        <f t="shared" si="4"/>
        <v>0.170143375</v>
      </c>
      <c r="M44" s="105">
        <v>238.42</v>
      </c>
      <c r="N44" s="98">
        <f t="shared" si="5"/>
        <v>0.01986833333</v>
      </c>
      <c r="O44" s="98">
        <f t="shared" si="6"/>
        <v>0.1900117083</v>
      </c>
      <c r="P44" s="98">
        <f t="shared" si="7"/>
        <v>0.009500585417</v>
      </c>
      <c r="Q44" s="39"/>
      <c r="R44" s="98">
        <f t="shared" si="9"/>
        <v>0.1995122938</v>
      </c>
      <c r="S44" s="98">
        <f t="shared" si="10"/>
        <v>0.2134781543</v>
      </c>
      <c r="T44" s="26" t="s">
        <v>645</v>
      </c>
      <c r="U44" s="105">
        <v>1.0</v>
      </c>
      <c r="V44" s="107"/>
      <c r="W44" s="107"/>
      <c r="X44" s="95"/>
      <c r="Y44" s="107"/>
      <c r="Z44" s="107"/>
      <c r="AA44" s="107"/>
      <c r="AB44" s="107"/>
      <c r="AC44" s="107"/>
      <c r="AD44" s="107"/>
      <c r="AE44" s="107"/>
    </row>
    <row r="45">
      <c r="A45" s="39" t="s">
        <v>482</v>
      </c>
      <c r="B45" s="39" t="s">
        <v>644</v>
      </c>
      <c r="C45" s="58" t="s">
        <v>483</v>
      </c>
      <c r="D45" s="58" t="s">
        <v>483</v>
      </c>
      <c r="E45" s="108">
        <v>381.63</v>
      </c>
      <c r="F45" s="108">
        <v>5.0</v>
      </c>
      <c r="G45" s="108">
        <f t="shared" si="13"/>
        <v>1908.15</v>
      </c>
      <c r="H45" s="108">
        <v>12000.0</v>
      </c>
      <c r="I45" s="98">
        <f t="shared" si="2"/>
        <v>0.1590125</v>
      </c>
      <c r="J45" s="98">
        <f t="shared" si="3"/>
        <v>0.2090125</v>
      </c>
      <c r="K45" s="39"/>
      <c r="L45" s="98">
        <f t="shared" si="4"/>
        <v>0.170143375</v>
      </c>
      <c r="M45" s="108">
        <v>238.42</v>
      </c>
      <c r="N45" s="98">
        <f t="shared" si="5"/>
        <v>0.01986833333</v>
      </c>
      <c r="O45" s="98">
        <f t="shared" si="6"/>
        <v>0.1900117083</v>
      </c>
      <c r="P45" s="98">
        <f t="shared" si="7"/>
        <v>0.009500585417</v>
      </c>
      <c r="Q45" s="98">
        <f t="shared" ref="Q45:Q265" si="14">O45*25%</f>
        <v>0.04750292708</v>
      </c>
      <c r="R45" s="98">
        <f t="shared" si="9"/>
        <v>0.2470152208</v>
      </c>
      <c r="S45" s="98">
        <f t="shared" si="10"/>
        <v>0.2643062863</v>
      </c>
      <c r="T45" s="58" t="s">
        <v>645</v>
      </c>
      <c r="U45" s="108">
        <v>1.0</v>
      </c>
      <c r="V45" s="109"/>
      <c r="W45" s="109"/>
      <c r="X45" s="95"/>
      <c r="Y45" s="109"/>
      <c r="Z45" s="109"/>
      <c r="AA45" s="109"/>
      <c r="AB45" s="109"/>
      <c r="AC45" s="109"/>
      <c r="AD45" s="109"/>
      <c r="AE45" s="109"/>
    </row>
    <row r="46">
      <c r="A46" s="39" t="s">
        <v>131</v>
      </c>
      <c r="B46" s="39" t="s">
        <v>610</v>
      </c>
      <c r="C46" s="26" t="s">
        <v>132</v>
      </c>
      <c r="D46" s="26" t="s">
        <v>132</v>
      </c>
      <c r="E46" s="105">
        <v>269.0</v>
      </c>
      <c r="F46" s="105">
        <v>5.0</v>
      </c>
      <c r="G46" s="105">
        <f t="shared" si="13"/>
        <v>1345</v>
      </c>
      <c r="H46" s="105">
        <v>100.0</v>
      </c>
      <c r="I46" s="98">
        <f t="shared" si="2"/>
        <v>13.45</v>
      </c>
      <c r="J46" s="98">
        <f t="shared" si="3"/>
        <v>13.5</v>
      </c>
      <c r="K46" s="39"/>
      <c r="L46" s="98">
        <f t="shared" si="4"/>
        <v>14.3915</v>
      </c>
      <c r="M46" s="105">
        <v>97.65</v>
      </c>
      <c r="N46" s="98">
        <f t="shared" si="5"/>
        <v>0.9765</v>
      </c>
      <c r="O46" s="98">
        <f t="shared" si="6"/>
        <v>15.368</v>
      </c>
      <c r="P46" s="98">
        <f t="shared" si="7"/>
        <v>0.7684</v>
      </c>
      <c r="Q46" s="98">
        <f t="shared" si="14"/>
        <v>3.842</v>
      </c>
      <c r="R46" s="98">
        <f t="shared" si="9"/>
        <v>19.9784</v>
      </c>
      <c r="S46" s="98">
        <f t="shared" si="10"/>
        <v>21.376888</v>
      </c>
      <c r="T46" s="26" t="s">
        <v>646</v>
      </c>
      <c r="U46" s="105">
        <v>1.0</v>
      </c>
      <c r="V46" s="107"/>
      <c r="W46" s="107"/>
      <c r="X46" s="95"/>
      <c r="Y46" s="107"/>
      <c r="Z46" s="107"/>
      <c r="AA46" s="107"/>
      <c r="AB46" s="107"/>
      <c r="AC46" s="107"/>
      <c r="AD46" s="107"/>
      <c r="AE46" s="107"/>
    </row>
    <row r="47">
      <c r="A47" s="39" t="s">
        <v>484</v>
      </c>
      <c r="B47" s="39" t="s">
        <v>644</v>
      </c>
      <c r="C47" s="58" t="s">
        <v>485</v>
      </c>
      <c r="D47" s="58" t="s">
        <v>485</v>
      </c>
      <c r="E47" s="108">
        <v>676.0</v>
      </c>
      <c r="F47" s="108">
        <v>5.0</v>
      </c>
      <c r="G47" s="108">
        <f t="shared" si="13"/>
        <v>3380</v>
      </c>
      <c r="H47" s="108">
        <v>20000.0</v>
      </c>
      <c r="I47" s="98">
        <f t="shared" si="2"/>
        <v>0.169</v>
      </c>
      <c r="J47" s="98">
        <f t="shared" si="3"/>
        <v>0.219</v>
      </c>
      <c r="K47" s="39"/>
      <c r="L47" s="98">
        <f t="shared" si="4"/>
        <v>0.18083</v>
      </c>
      <c r="M47" s="108">
        <v>288.42</v>
      </c>
      <c r="N47" s="98">
        <f t="shared" si="5"/>
        <v>0.014421</v>
      </c>
      <c r="O47" s="98">
        <f t="shared" si="6"/>
        <v>0.195251</v>
      </c>
      <c r="P47" s="98">
        <f t="shared" si="7"/>
        <v>0.00976255</v>
      </c>
      <c r="Q47" s="98">
        <f t="shared" si="14"/>
        <v>0.04881275</v>
      </c>
      <c r="R47" s="98">
        <f t="shared" si="9"/>
        <v>0.2538263</v>
      </c>
      <c r="S47" s="98">
        <f t="shared" si="10"/>
        <v>0.271594141</v>
      </c>
      <c r="T47" s="58" t="s">
        <v>647</v>
      </c>
      <c r="U47" s="108">
        <v>1.0</v>
      </c>
      <c r="V47" s="109"/>
      <c r="W47" s="109"/>
      <c r="X47" s="95"/>
      <c r="Y47" s="109"/>
      <c r="Z47" s="109"/>
      <c r="AA47" s="109"/>
      <c r="AB47" s="109"/>
      <c r="AC47" s="109"/>
      <c r="AD47" s="109"/>
      <c r="AE47" s="109"/>
    </row>
    <row r="48">
      <c r="A48" s="39" t="s">
        <v>331</v>
      </c>
      <c r="B48" s="39" t="s">
        <v>610</v>
      </c>
      <c r="C48" s="26" t="s">
        <v>332</v>
      </c>
      <c r="D48" s="26" t="s">
        <v>332</v>
      </c>
      <c r="E48" s="105">
        <v>183.0</v>
      </c>
      <c r="F48" s="105">
        <v>5.0</v>
      </c>
      <c r="G48" s="105">
        <f t="shared" si="13"/>
        <v>915</v>
      </c>
      <c r="H48" s="105">
        <v>60.0</v>
      </c>
      <c r="I48" s="98">
        <f t="shared" si="2"/>
        <v>15.25</v>
      </c>
      <c r="J48" s="98">
        <f t="shared" si="3"/>
        <v>15.3</v>
      </c>
      <c r="K48" s="39"/>
      <c r="L48" s="98">
        <f t="shared" si="4"/>
        <v>16.3175</v>
      </c>
      <c r="M48" s="105">
        <v>37.42</v>
      </c>
      <c r="N48" s="98">
        <f t="shared" si="5"/>
        <v>0.6236666667</v>
      </c>
      <c r="O48" s="98">
        <f t="shared" si="6"/>
        <v>16.94116667</v>
      </c>
      <c r="P48" s="98">
        <f t="shared" si="7"/>
        <v>0.8470583333</v>
      </c>
      <c r="Q48" s="98">
        <f t="shared" si="14"/>
        <v>4.235291667</v>
      </c>
      <c r="R48" s="98">
        <f t="shared" si="9"/>
        <v>22.02351667</v>
      </c>
      <c r="S48" s="98">
        <f t="shared" si="10"/>
        <v>23.56516283</v>
      </c>
      <c r="T48" s="26" t="s">
        <v>648</v>
      </c>
      <c r="U48" s="105">
        <v>1.0</v>
      </c>
      <c r="V48" s="107"/>
      <c r="W48" s="107"/>
      <c r="X48" s="95"/>
      <c r="Y48" s="107"/>
      <c r="Z48" s="107"/>
      <c r="AA48" s="107"/>
      <c r="AB48" s="107"/>
      <c r="AC48" s="107"/>
      <c r="AD48" s="107"/>
      <c r="AE48" s="107"/>
    </row>
    <row r="49">
      <c r="A49" s="39" t="s">
        <v>333</v>
      </c>
      <c r="B49" s="39" t="s">
        <v>610</v>
      </c>
      <c r="C49" s="58" t="s">
        <v>334</v>
      </c>
      <c r="D49" s="58" t="s">
        <v>334</v>
      </c>
      <c r="E49" s="108">
        <v>131.0</v>
      </c>
      <c r="F49" s="108">
        <v>5.0</v>
      </c>
      <c r="G49" s="108">
        <f t="shared" si="13"/>
        <v>655</v>
      </c>
      <c r="H49" s="108">
        <v>10.0</v>
      </c>
      <c r="I49" s="98">
        <f t="shared" si="2"/>
        <v>65.5</v>
      </c>
      <c r="J49" s="98">
        <f t="shared" si="3"/>
        <v>65.55</v>
      </c>
      <c r="K49" s="39"/>
      <c r="L49" s="98">
        <f t="shared" si="4"/>
        <v>70.085</v>
      </c>
      <c r="M49" s="108">
        <v>111.455</v>
      </c>
      <c r="N49" s="98">
        <f t="shared" si="5"/>
        <v>11.1455</v>
      </c>
      <c r="O49" s="98">
        <f t="shared" si="6"/>
        <v>81.2305</v>
      </c>
      <c r="P49" s="98">
        <f t="shared" si="7"/>
        <v>4.061525</v>
      </c>
      <c r="Q49" s="98">
        <f t="shared" si="14"/>
        <v>20.307625</v>
      </c>
      <c r="R49" s="98">
        <f t="shared" si="9"/>
        <v>105.59965</v>
      </c>
      <c r="S49" s="98">
        <f t="shared" si="10"/>
        <v>112.9916255</v>
      </c>
      <c r="T49" s="58" t="s">
        <v>649</v>
      </c>
      <c r="U49" s="108">
        <v>1.0</v>
      </c>
      <c r="V49" s="109"/>
      <c r="W49" s="109"/>
      <c r="X49" s="95"/>
      <c r="Y49" s="109"/>
      <c r="Z49" s="109"/>
      <c r="AA49" s="109"/>
      <c r="AB49" s="109"/>
      <c r="AC49" s="109"/>
      <c r="AD49" s="109"/>
      <c r="AE49" s="109"/>
    </row>
    <row r="50">
      <c r="A50" s="39" t="s">
        <v>335</v>
      </c>
      <c r="B50" s="39" t="s">
        <v>610</v>
      </c>
      <c r="C50" s="26" t="s">
        <v>336</v>
      </c>
      <c r="D50" s="26" t="s">
        <v>336</v>
      </c>
      <c r="E50" s="105">
        <v>135.5</v>
      </c>
      <c r="F50" s="105">
        <v>5.0</v>
      </c>
      <c r="G50" s="105">
        <f t="shared" si="13"/>
        <v>677.5</v>
      </c>
      <c r="H50" s="105">
        <v>10.0</v>
      </c>
      <c r="I50" s="98">
        <f t="shared" si="2"/>
        <v>67.75</v>
      </c>
      <c r="J50" s="98">
        <f t="shared" si="3"/>
        <v>67.8</v>
      </c>
      <c r="K50" s="39"/>
      <c r="L50" s="98">
        <f t="shared" si="4"/>
        <v>72.4925</v>
      </c>
      <c r="M50" s="105">
        <v>111.455</v>
      </c>
      <c r="N50" s="98">
        <f t="shared" si="5"/>
        <v>11.1455</v>
      </c>
      <c r="O50" s="98">
        <f t="shared" si="6"/>
        <v>83.638</v>
      </c>
      <c r="P50" s="98">
        <f t="shared" si="7"/>
        <v>4.1819</v>
      </c>
      <c r="Q50" s="98">
        <f t="shared" si="14"/>
        <v>20.9095</v>
      </c>
      <c r="R50" s="98">
        <f t="shared" si="9"/>
        <v>108.7294</v>
      </c>
      <c r="S50" s="98">
        <f t="shared" si="10"/>
        <v>116.340458</v>
      </c>
      <c r="T50" s="26" t="s">
        <v>649</v>
      </c>
      <c r="U50" s="105">
        <v>1.0</v>
      </c>
      <c r="V50" s="107"/>
      <c r="W50" s="107"/>
      <c r="X50" s="95"/>
      <c r="Y50" s="107"/>
      <c r="Z50" s="107"/>
      <c r="AA50" s="107"/>
      <c r="AB50" s="107"/>
      <c r="AC50" s="107"/>
      <c r="AD50" s="107"/>
      <c r="AE50" s="107"/>
    </row>
    <row r="51">
      <c r="A51" s="39" t="s">
        <v>337</v>
      </c>
      <c r="B51" s="39" t="s">
        <v>610</v>
      </c>
      <c r="C51" s="58" t="s">
        <v>338</v>
      </c>
      <c r="D51" s="58" t="s">
        <v>338</v>
      </c>
      <c r="E51" s="108">
        <v>131.0</v>
      </c>
      <c r="F51" s="108">
        <v>5.0</v>
      </c>
      <c r="G51" s="108">
        <f t="shared" si="13"/>
        <v>655</v>
      </c>
      <c r="H51" s="108">
        <v>10.0</v>
      </c>
      <c r="I51" s="98">
        <f t="shared" si="2"/>
        <v>65.5</v>
      </c>
      <c r="J51" s="98">
        <f t="shared" si="3"/>
        <v>65.55</v>
      </c>
      <c r="K51" s="39"/>
      <c r="L51" s="98">
        <f t="shared" si="4"/>
        <v>70.085</v>
      </c>
      <c r="M51" s="108">
        <v>111.455</v>
      </c>
      <c r="N51" s="98">
        <f t="shared" si="5"/>
        <v>11.1455</v>
      </c>
      <c r="O51" s="98">
        <f t="shared" si="6"/>
        <v>81.2305</v>
      </c>
      <c r="P51" s="98">
        <f t="shared" si="7"/>
        <v>4.061525</v>
      </c>
      <c r="Q51" s="98">
        <f t="shared" si="14"/>
        <v>20.307625</v>
      </c>
      <c r="R51" s="98">
        <f t="shared" si="9"/>
        <v>105.59965</v>
      </c>
      <c r="S51" s="98">
        <f t="shared" si="10"/>
        <v>112.9916255</v>
      </c>
      <c r="T51" s="58" t="s">
        <v>649</v>
      </c>
      <c r="U51" s="108">
        <v>1.0</v>
      </c>
      <c r="V51" s="109"/>
      <c r="W51" s="109"/>
      <c r="X51" s="95"/>
      <c r="Y51" s="109"/>
      <c r="Z51" s="109"/>
      <c r="AA51" s="109"/>
      <c r="AB51" s="109"/>
      <c r="AC51" s="109"/>
      <c r="AD51" s="109"/>
      <c r="AE51" s="109"/>
    </row>
    <row r="52">
      <c r="A52" s="39" t="s">
        <v>339</v>
      </c>
      <c r="B52" s="39" t="s">
        <v>610</v>
      </c>
      <c r="C52" s="26" t="s">
        <v>340</v>
      </c>
      <c r="D52" s="26" t="s">
        <v>340</v>
      </c>
      <c r="E52" s="105">
        <v>135.5</v>
      </c>
      <c r="F52" s="105">
        <v>5.0</v>
      </c>
      <c r="G52" s="105">
        <f t="shared" si="13"/>
        <v>677.5</v>
      </c>
      <c r="H52" s="105">
        <v>10.0</v>
      </c>
      <c r="I52" s="98">
        <f t="shared" si="2"/>
        <v>67.75</v>
      </c>
      <c r="J52" s="98">
        <f t="shared" si="3"/>
        <v>67.8</v>
      </c>
      <c r="K52" s="39"/>
      <c r="L52" s="98">
        <f t="shared" si="4"/>
        <v>72.4925</v>
      </c>
      <c r="M52" s="105">
        <v>111.455</v>
      </c>
      <c r="N52" s="98">
        <f t="shared" si="5"/>
        <v>11.1455</v>
      </c>
      <c r="O52" s="98">
        <f t="shared" si="6"/>
        <v>83.638</v>
      </c>
      <c r="P52" s="98">
        <f t="shared" si="7"/>
        <v>4.1819</v>
      </c>
      <c r="Q52" s="98">
        <f t="shared" si="14"/>
        <v>20.9095</v>
      </c>
      <c r="R52" s="98">
        <f t="shared" si="9"/>
        <v>108.7294</v>
      </c>
      <c r="S52" s="98">
        <f t="shared" si="10"/>
        <v>116.340458</v>
      </c>
      <c r="T52" s="26" t="s">
        <v>649</v>
      </c>
      <c r="U52" s="105">
        <v>1.0</v>
      </c>
      <c r="V52" s="107"/>
      <c r="W52" s="107"/>
      <c r="X52" s="95"/>
      <c r="Y52" s="95"/>
      <c r="Z52" s="95"/>
      <c r="AA52" s="95"/>
      <c r="AB52" s="95"/>
      <c r="AC52" s="95"/>
      <c r="AD52" s="95"/>
      <c r="AE52" s="95"/>
    </row>
    <row r="53">
      <c r="A53" s="39" t="s">
        <v>486</v>
      </c>
      <c r="B53" s="39" t="s">
        <v>610</v>
      </c>
      <c r="C53" s="58" t="s">
        <v>487</v>
      </c>
      <c r="D53" s="58" t="s">
        <v>487</v>
      </c>
      <c r="E53" s="108">
        <v>1444.0</v>
      </c>
      <c r="F53" s="108">
        <v>5.0</v>
      </c>
      <c r="G53" s="108">
        <f t="shared" si="13"/>
        <v>7220</v>
      </c>
      <c r="H53" s="108">
        <v>20.0</v>
      </c>
      <c r="I53" s="98">
        <f t="shared" si="2"/>
        <v>361</v>
      </c>
      <c r="J53" s="98">
        <f t="shared" si="3"/>
        <v>361.05</v>
      </c>
      <c r="K53" s="39"/>
      <c r="L53" s="98">
        <f t="shared" si="4"/>
        <v>386.27</v>
      </c>
      <c r="M53" s="108">
        <v>117.8</v>
      </c>
      <c r="N53" s="98">
        <f t="shared" si="5"/>
        <v>5.89</v>
      </c>
      <c r="O53" s="98">
        <f t="shared" si="6"/>
        <v>392.16</v>
      </c>
      <c r="P53" s="98">
        <f t="shared" si="7"/>
        <v>19.608</v>
      </c>
      <c r="Q53" s="98">
        <f t="shared" si="14"/>
        <v>98.04</v>
      </c>
      <c r="R53" s="98">
        <f t="shared" si="9"/>
        <v>509.808</v>
      </c>
      <c r="S53" s="98">
        <f t="shared" si="10"/>
        <v>545.49456</v>
      </c>
      <c r="T53" s="58" t="s">
        <v>650</v>
      </c>
      <c r="U53" s="108">
        <v>1.0</v>
      </c>
      <c r="V53" s="109"/>
      <c r="W53" s="109"/>
      <c r="X53" s="95"/>
      <c r="Y53" s="95"/>
      <c r="Z53" s="95"/>
      <c r="AA53" s="95"/>
      <c r="AB53" s="95"/>
      <c r="AC53" s="95"/>
      <c r="AD53" s="95"/>
      <c r="AE53" s="95"/>
    </row>
    <row r="54">
      <c r="A54" s="39" t="s">
        <v>486</v>
      </c>
      <c r="B54" s="39" t="s">
        <v>610</v>
      </c>
      <c r="C54" s="26" t="s">
        <v>488</v>
      </c>
      <c r="D54" s="26" t="s">
        <v>488</v>
      </c>
      <c r="E54" s="105">
        <v>121.6</v>
      </c>
      <c r="F54" s="105">
        <v>5.0</v>
      </c>
      <c r="G54" s="105">
        <f t="shared" si="13"/>
        <v>608</v>
      </c>
      <c r="H54" s="105">
        <v>1.0</v>
      </c>
      <c r="I54" s="98">
        <f t="shared" si="2"/>
        <v>608</v>
      </c>
      <c r="J54" s="98">
        <f t="shared" si="3"/>
        <v>608.05</v>
      </c>
      <c r="K54" s="39"/>
      <c r="L54" s="98">
        <f t="shared" si="4"/>
        <v>650.56</v>
      </c>
      <c r="M54" s="105">
        <v>5.89</v>
      </c>
      <c r="N54" s="98">
        <f t="shared" si="5"/>
        <v>5.89</v>
      </c>
      <c r="O54" s="98">
        <f t="shared" si="6"/>
        <v>656.45</v>
      </c>
      <c r="P54" s="98">
        <f t="shared" si="7"/>
        <v>32.8225</v>
      </c>
      <c r="Q54" s="98">
        <f t="shared" si="14"/>
        <v>164.1125</v>
      </c>
      <c r="R54" s="98">
        <f t="shared" si="9"/>
        <v>853.385</v>
      </c>
      <c r="S54" s="98">
        <f t="shared" si="10"/>
        <v>913.12195</v>
      </c>
      <c r="T54" s="26" t="s">
        <v>650</v>
      </c>
      <c r="U54" s="105">
        <v>1.0</v>
      </c>
      <c r="V54" s="107"/>
      <c r="W54" s="107"/>
      <c r="X54" s="95"/>
      <c r="Y54" s="95"/>
      <c r="Z54" s="95"/>
      <c r="AA54" s="95"/>
      <c r="AB54" s="95"/>
      <c r="AC54" s="95"/>
      <c r="AD54" s="95"/>
      <c r="AE54" s="95"/>
    </row>
    <row r="55">
      <c r="A55" s="39" t="s">
        <v>211</v>
      </c>
      <c r="B55" s="39" t="s">
        <v>610</v>
      </c>
      <c r="C55" s="58" t="s">
        <v>212</v>
      </c>
      <c r="D55" s="58" t="s">
        <v>212</v>
      </c>
      <c r="E55" s="108">
        <v>940.0</v>
      </c>
      <c r="F55" s="108">
        <v>5.0</v>
      </c>
      <c r="G55" s="108">
        <f t="shared" si="13"/>
        <v>4700</v>
      </c>
      <c r="H55" s="108">
        <v>20.0</v>
      </c>
      <c r="I55" s="98">
        <f t="shared" si="2"/>
        <v>235</v>
      </c>
      <c r="J55" s="98">
        <f t="shared" si="3"/>
        <v>235.05</v>
      </c>
      <c r="K55" s="39"/>
      <c r="L55" s="98">
        <f t="shared" si="4"/>
        <v>251.45</v>
      </c>
      <c r="M55" s="108">
        <v>0.0</v>
      </c>
      <c r="N55" s="98">
        <f t="shared" si="5"/>
        <v>0</v>
      </c>
      <c r="O55" s="98">
        <f t="shared" si="6"/>
        <v>251.45</v>
      </c>
      <c r="P55" s="98">
        <f t="shared" si="7"/>
        <v>12.5725</v>
      </c>
      <c r="Q55" s="98">
        <f t="shared" si="14"/>
        <v>62.8625</v>
      </c>
      <c r="R55" s="98">
        <f t="shared" si="9"/>
        <v>326.885</v>
      </c>
      <c r="S55" s="98">
        <f t="shared" si="10"/>
        <v>349.76695</v>
      </c>
      <c r="T55" s="58" t="s">
        <v>651</v>
      </c>
      <c r="U55" s="108">
        <v>1.0</v>
      </c>
      <c r="V55" s="109"/>
      <c r="W55" s="109"/>
      <c r="X55" s="95"/>
      <c r="Y55" s="95"/>
      <c r="Z55" s="95"/>
      <c r="AA55" s="95"/>
      <c r="AB55" s="95"/>
      <c r="AC55" s="95"/>
      <c r="AD55" s="95"/>
      <c r="AE55" s="95"/>
    </row>
    <row r="56">
      <c r="A56" s="39" t="s">
        <v>213</v>
      </c>
      <c r="B56" s="39" t="s">
        <v>610</v>
      </c>
      <c r="C56" s="58" t="s">
        <v>214</v>
      </c>
      <c r="D56" s="58" t="s">
        <v>214</v>
      </c>
      <c r="E56" s="105">
        <v>1040.0</v>
      </c>
      <c r="F56" s="105">
        <v>5.0</v>
      </c>
      <c r="G56" s="105">
        <f t="shared" si="13"/>
        <v>5200</v>
      </c>
      <c r="H56" s="105">
        <v>20.0</v>
      </c>
      <c r="I56" s="98">
        <f t="shared" si="2"/>
        <v>260</v>
      </c>
      <c r="J56" s="98">
        <f t="shared" si="3"/>
        <v>260.05</v>
      </c>
      <c r="K56" s="39"/>
      <c r="L56" s="98">
        <f t="shared" si="4"/>
        <v>278.2</v>
      </c>
      <c r="M56" s="105">
        <v>0.0</v>
      </c>
      <c r="N56" s="98">
        <f t="shared" si="5"/>
        <v>0</v>
      </c>
      <c r="O56" s="98">
        <f t="shared" si="6"/>
        <v>278.2</v>
      </c>
      <c r="P56" s="98">
        <f t="shared" si="7"/>
        <v>13.91</v>
      </c>
      <c r="Q56" s="98">
        <f t="shared" si="14"/>
        <v>69.55</v>
      </c>
      <c r="R56" s="98">
        <f t="shared" si="9"/>
        <v>361.66</v>
      </c>
      <c r="S56" s="98">
        <f t="shared" si="10"/>
        <v>386.9762</v>
      </c>
      <c r="T56" s="26" t="s">
        <v>651</v>
      </c>
      <c r="U56" s="105">
        <v>1.0</v>
      </c>
      <c r="V56" s="107"/>
      <c r="W56" s="107"/>
      <c r="X56" s="95"/>
      <c r="Y56" s="95"/>
      <c r="Z56" s="95"/>
      <c r="AA56" s="95"/>
      <c r="AB56" s="95"/>
      <c r="AC56" s="95"/>
      <c r="AD56" s="95"/>
      <c r="AE56" s="95"/>
    </row>
    <row r="57">
      <c r="A57" s="39" t="s">
        <v>215</v>
      </c>
      <c r="B57" s="39" t="s">
        <v>610</v>
      </c>
      <c r="C57" s="58" t="s">
        <v>216</v>
      </c>
      <c r="D57" s="58" t="s">
        <v>216</v>
      </c>
      <c r="E57" s="108">
        <v>1410.0</v>
      </c>
      <c r="F57" s="108">
        <v>5.0</v>
      </c>
      <c r="G57" s="108">
        <f t="shared" si="13"/>
        <v>7050</v>
      </c>
      <c r="H57" s="108">
        <v>30.0</v>
      </c>
      <c r="I57" s="98">
        <f t="shared" si="2"/>
        <v>235</v>
      </c>
      <c r="J57" s="98">
        <f t="shared" si="3"/>
        <v>235.05</v>
      </c>
      <c r="K57" s="39"/>
      <c r="L57" s="98">
        <f t="shared" si="4"/>
        <v>251.45</v>
      </c>
      <c r="M57" s="108">
        <v>0.0</v>
      </c>
      <c r="N57" s="98">
        <f t="shared" si="5"/>
        <v>0</v>
      </c>
      <c r="O57" s="98">
        <f t="shared" si="6"/>
        <v>251.45</v>
      </c>
      <c r="P57" s="98">
        <f t="shared" si="7"/>
        <v>12.5725</v>
      </c>
      <c r="Q57" s="98">
        <f t="shared" si="14"/>
        <v>62.8625</v>
      </c>
      <c r="R57" s="98">
        <f t="shared" si="9"/>
        <v>326.885</v>
      </c>
      <c r="S57" s="98">
        <f t="shared" si="10"/>
        <v>349.76695</v>
      </c>
      <c r="T57" s="58" t="s">
        <v>651</v>
      </c>
      <c r="U57" s="108">
        <v>1.0</v>
      </c>
      <c r="V57" s="109"/>
      <c r="W57" s="109"/>
      <c r="X57" s="95"/>
      <c r="Y57" s="95"/>
      <c r="Z57" s="95"/>
      <c r="AA57" s="95"/>
      <c r="AB57" s="95"/>
      <c r="AC57" s="95"/>
      <c r="AD57" s="95"/>
      <c r="AE57" s="95"/>
    </row>
    <row r="58">
      <c r="A58" s="39" t="s">
        <v>217</v>
      </c>
      <c r="B58" s="39" t="s">
        <v>610</v>
      </c>
      <c r="C58" s="26" t="s">
        <v>218</v>
      </c>
      <c r="D58" s="26" t="s">
        <v>218</v>
      </c>
      <c r="E58" s="105">
        <v>1560.0</v>
      </c>
      <c r="F58" s="105">
        <v>5.0</v>
      </c>
      <c r="G58" s="105">
        <f t="shared" si="13"/>
        <v>7800</v>
      </c>
      <c r="H58" s="105">
        <v>30.0</v>
      </c>
      <c r="I58" s="98">
        <f t="shared" si="2"/>
        <v>260</v>
      </c>
      <c r="J58" s="98">
        <f t="shared" si="3"/>
        <v>260.05</v>
      </c>
      <c r="K58" s="39"/>
      <c r="L58" s="98">
        <f t="shared" si="4"/>
        <v>278.2</v>
      </c>
      <c r="M58" s="105">
        <v>0.0</v>
      </c>
      <c r="N58" s="98">
        <f t="shared" si="5"/>
        <v>0</v>
      </c>
      <c r="O58" s="98">
        <f t="shared" si="6"/>
        <v>278.2</v>
      </c>
      <c r="P58" s="98">
        <f t="shared" si="7"/>
        <v>13.91</v>
      </c>
      <c r="Q58" s="98">
        <f t="shared" si="14"/>
        <v>69.55</v>
      </c>
      <c r="R58" s="98">
        <f t="shared" si="9"/>
        <v>361.66</v>
      </c>
      <c r="S58" s="98">
        <f t="shared" si="10"/>
        <v>386.9762</v>
      </c>
      <c r="T58" s="26" t="s">
        <v>651</v>
      </c>
      <c r="U58" s="105">
        <v>1.0</v>
      </c>
      <c r="V58" s="107"/>
      <c r="W58" s="107"/>
      <c r="X58" s="95"/>
      <c r="Y58" s="95"/>
      <c r="Z58" s="95"/>
      <c r="AA58" s="95"/>
      <c r="AB58" s="95"/>
      <c r="AC58" s="95"/>
      <c r="AD58" s="95"/>
      <c r="AE58" s="95"/>
    </row>
    <row r="59">
      <c r="A59" s="39" t="s">
        <v>219</v>
      </c>
      <c r="B59" s="39" t="s">
        <v>610</v>
      </c>
      <c r="C59" s="58" t="s">
        <v>220</v>
      </c>
      <c r="D59" s="58" t="s">
        <v>220</v>
      </c>
      <c r="E59" s="108">
        <v>940.0</v>
      </c>
      <c r="F59" s="108">
        <v>5.0</v>
      </c>
      <c r="G59" s="108">
        <f t="shared" si="13"/>
        <v>4700</v>
      </c>
      <c r="H59" s="108">
        <v>20.0</v>
      </c>
      <c r="I59" s="98">
        <f t="shared" si="2"/>
        <v>235</v>
      </c>
      <c r="J59" s="98">
        <f t="shared" si="3"/>
        <v>235.05</v>
      </c>
      <c r="K59" s="39"/>
      <c r="L59" s="98">
        <f t="shared" si="4"/>
        <v>251.45</v>
      </c>
      <c r="M59" s="108">
        <v>0.0</v>
      </c>
      <c r="N59" s="98">
        <f t="shared" si="5"/>
        <v>0</v>
      </c>
      <c r="O59" s="98">
        <f t="shared" si="6"/>
        <v>251.45</v>
      </c>
      <c r="P59" s="98">
        <f t="shared" si="7"/>
        <v>12.5725</v>
      </c>
      <c r="Q59" s="98">
        <f t="shared" si="14"/>
        <v>62.8625</v>
      </c>
      <c r="R59" s="98">
        <f t="shared" si="9"/>
        <v>326.885</v>
      </c>
      <c r="S59" s="98">
        <f t="shared" si="10"/>
        <v>349.76695</v>
      </c>
      <c r="T59" s="58" t="s">
        <v>651</v>
      </c>
      <c r="U59" s="108">
        <v>1.0</v>
      </c>
      <c r="V59" s="109"/>
      <c r="W59" s="109"/>
      <c r="X59" s="95"/>
      <c r="Y59" s="95"/>
      <c r="Z59" s="95"/>
      <c r="AA59" s="95"/>
      <c r="AB59" s="95"/>
      <c r="AC59" s="95"/>
      <c r="AD59" s="95"/>
      <c r="AE59" s="95"/>
    </row>
    <row r="60">
      <c r="A60" s="39" t="s">
        <v>221</v>
      </c>
      <c r="B60" s="39" t="s">
        <v>610</v>
      </c>
      <c r="C60" s="26" t="s">
        <v>222</v>
      </c>
      <c r="D60" s="26" t="s">
        <v>222</v>
      </c>
      <c r="E60" s="105">
        <v>520.0</v>
      </c>
      <c r="F60" s="105">
        <v>5.0</v>
      </c>
      <c r="G60" s="105">
        <f t="shared" si="13"/>
        <v>2600</v>
      </c>
      <c r="H60" s="105">
        <v>10.0</v>
      </c>
      <c r="I60" s="98">
        <f t="shared" si="2"/>
        <v>260</v>
      </c>
      <c r="J60" s="98">
        <f t="shared" si="3"/>
        <v>260.05</v>
      </c>
      <c r="K60" s="39"/>
      <c r="L60" s="98">
        <f t="shared" si="4"/>
        <v>278.2</v>
      </c>
      <c r="M60" s="105">
        <v>0.0</v>
      </c>
      <c r="N60" s="98">
        <f t="shared" si="5"/>
        <v>0</v>
      </c>
      <c r="O60" s="98">
        <f t="shared" si="6"/>
        <v>278.2</v>
      </c>
      <c r="P60" s="98">
        <f t="shared" si="7"/>
        <v>13.91</v>
      </c>
      <c r="Q60" s="98">
        <f t="shared" si="14"/>
        <v>69.55</v>
      </c>
      <c r="R60" s="98">
        <f t="shared" si="9"/>
        <v>361.66</v>
      </c>
      <c r="S60" s="98">
        <f t="shared" si="10"/>
        <v>386.9762</v>
      </c>
      <c r="T60" s="26" t="s">
        <v>651</v>
      </c>
      <c r="U60" s="105">
        <v>1.0</v>
      </c>
      <c r="V60" s="107"/>
      <c r="W60" s="107"/>
      <c r="X60" s="95"/>
      <c r="Y60" s="95"/>
      <c r="Z60" s="95"/>
      <c r="AA60" s="95"/>
      <c r="AB60" s="95"/>
      <c r="AC60" s="95"/>
      <c r="AD60" s="95"/>
      <c r="AE60" s="95"/>
    </row>
    <row r="61">
      <c r="A61" s="39" t="s">
        <v>223</v>
      </c>
      <c r="B61" s="39" t="s">
        <v>610</v>
      </c>
      <c r="C61" s="58" t="s">
        <v>224</v>
      </c>
      <c r="D61" s="58" t="s">
        <v>224</v>
      </c>
      <c r="E61" s="108">
        <v>235.0</v>
      </c>
      <c r="F61" s="108">
        <v>5.0</v>
      </c>
      <c r="G61" s="108">
        <f t="shared" si="13"/>
        <v>1175</v>
      </c>
      <c r="H61" s="108">
        <v>5.0</v>
      </c>
      <c r="I61" s="98">
        <f t="shared" si="2"/>
        <v>235</v>
      </c>
      <c r="J61" s="98">
        <f t="shared" si="3"/>
        <v>235.05</v>
      </c>
      <c r="K61" s="39"/>
      <c r="L61" s="98">
        <f t="shared" si="4"/>
        <v>251.45</v>
      </c>
      <c r="M61" s="108">
        <v>0.0</v>
      </c>
      <c r="N61" s="98">
        <f t="shared" si="5"/>
        <v>0</v>
      </c>
      <c r="O61" s="98">
        <f t="shared" si="6"/>
        <v>251.45</v>
      </c>
      <c r="P61" s="98">
        <f t="shared" si="7"/>
        <v>12.5725</v>
      </c>
      <c r="Q61" s="98">
        <f t="shared" si="14"/>
        <v>62.8625</v>
      </c>
      <c r="R61" s="98">
        <f t="shared" si="9"/>
        <v>326.885</v>
      </c>
      <c r="S61" s="98">
        <f t="shared" si="10"/>
        <v>349.76695</v>
      </c>
      <c r="T61" s="58" t="s">
        <v>651</v>
      </c>
      <c r="U61" s="108">
        <v>1.0</v>
      </c>
      <c r="V61" s="109"/>
      <c r="W61" s="109"/>
      <c r="X61" s="95"/>
      <c r="Y61" s="95"/>
      <c r="Z61" s="95"/>
      <c r="AA61" s="95"/>
      <c r="AB61" s="95"/>
      <c r="AC61" s="95"/>
      <c r="AD61" s="95"/>
      <c r="AE61" s="95"/>
    </row>
    <row r="62">
      <c r="A62" s="39" t="s">
        <v>225</v>
      </c>
      <c r="B62" s="39" t="s">
        <v>610</v>
      </c>
      <c r="C62" s="26" t="s">
        <v>226</v>
      </c>
      <c r="D62" s="26" t="s">
        <v>226</v>
      </c>
      <c r="E62" s="105">
        <v>260.0</v>
      </c>
      <c r="F62" s="105">
        <v>5.0</v>
      </c>
      <c r="G62" s="105">
        <f t="shared" si="13"/>
        <v>1300</v>
      </c>
      <c r="H62" s="105">
        <v>5.0</v>
      </c>
      <c r="I62" s="98">
        <f t="shared" si="2"/>
        <v>260</v>
      </c>
      <c r="J62" s="98">
        <f t="shared" si="3"/>
        <v>260.05</v>
      </c>
      <c r="K62" s="39"/>
      <c r="L62" s="98">
        <f t="shared" si="4"/>
        <v>278.2</v>
      </c>
      <c r="M62" s="105">
        <v>0.0</v>
      </c>
      <c r="N62" s="98">
        <f t="shared" si="5"/>
        <v>0</v>
      </c>
      <c r="O62" s="98">
        <f t="shared" si="6"/>
        <v>278.2</v>
      </c>
      <c r="P62" s="98">
        <f t="shared" si="7"/>
        <v>13.91</v>
      </c>
      <c r="Q62" s="98">
        <f t="shared" si="14"/>
        <v>69.55</v>
      </c>
      <c r="R62" s="98">
        <f t="shared" si="9"/>
        <v>361.66</v>
      </c>
      <c r="S62" s="98">
        <f t="shared" si="10"/>
        <v>386.9762</v>
      </c>
      <c r="T62" s="26" t="s">
        <v>651</v>
      </c>
      <c r="U62" s="105">
        <v>1.0</v>
      </c>
      <c r="V62" s="107"/>
      <c r="W62" s="107"/>
      <c r="X62" s="95"/>
      <c r="Y62" s="95"/>
      <c r="Z62" s="95"/>
      <c r="AA62" s="95"/>
      <c r="AB62" s="95"/>
      <c r="AC62" s="95"/>
      <c r="AD62" s="95"/>
      <c r="AE62" s="95"/>
    </row>
    <row r="63">
      <c r="A63" s="39" t="s">
        <v>169</v>
      </c>
      <c r="B63" s="39" t="s">
        <v>644</v>
      </c>
      <c r="C63" s="58" t="s">
        <v>170</v>
      </c>
      <c r="D63" s="58" t="s">
        <v>170</v>
      </c>
      <c r="E63" s="108">
        <v>549.0</v>
      </c>
      <c r="F63" s="108">
        <v>5.0</v>
      </c>
      <c r="G63" s="108">
        <f t="shared" si="13"/>
        <v>2745</v>
      </c>
      <c r="H63" s="108">
        <v>1000.0</v>
      </c>
      <c r="I63" s="98">
        <f t="shared" si="2"/>
        <v>2.745</v>
      </c>
      <c r="J63" s="98">
        <f t="shared" si="3"/>
        <v>2.795</v>
      </c>
      <c r="K63" s="39"/>
      <c r="L63" s="98">
        <f t="shared" si="4"/>
        <v>2.93715</v>
      </c>
      <c r="M63" s="108">
        <v>456.19</v>
      </c>
      <c r="N63" s="98">
        <f t="shared" si="5"/>
        <v>0.45619</v>
      </c>
      <c r="O63" s="98">
        <f t="shared" si="6"/>
        <v>3.39334</v>
      </c>
      <c r="P63" s="98">
        <f t="shared" si="7"/>
        <v>0.169667</v>
      </c>
      <c r="Q63" s="98">
        <f t="shared" si="14"/>
        <v>0.848335</v>
      </c>
      <c r="R63" s="98">
        <f t="shared" si="9"/>
        <v>4.411342</v>
      </c>
      <c r="S63" s="98">
        <f t="shared" si="10"/>
        <v>4.72013594</v>
      </c>
      <c r="T63" s="58" t="s">
        <v>652</v>
      </c>
      <c r="U63" s="108">
        <v>1.0</v>
      </c>
      <c r="V63" s="109"/>
      <c r="W63" s="109"/>
      <c r="X63" s="95"/>
      <c r="Y63" s="95"/>
      <c r="Z63" s="95"/>
      <c r="AA63" s="95"/>
      <c r="AB63" s="95"/>
      <c r="AC63" s="95"/>
      <c r="AD63" s="95"/>
      <c r="AE63" s="95"/>
    </row>
    <row r="64">
      <c r="A64" s="86" t="s">
        <v>489</v>
      </c>
      <c r="B64" s="39" t="s">
        <v>613</v>
      </c>
      <c r="C64" s="26" t="s">
        <v>490</v>
      </c>
      <c r="D64" s="26" t="s">
        <v>490</v>
      </c>
      <c r="E64" s="105">
        <v>1252.71</v>
      </c>
      <c r="F64" s="105">
        <v>5.0</v>
      </c>
      <c r="G64" s="105">
        <f t="shared" si="13"/>
        <v>6263.55</v>
      </c>
      <c r="H64" s="105">
        <v>100000.0</v>
      </c>
      <c r="I64" s="98">
        <f t="shared" si="2"/>
        <v>0.0626355</v>
      </c>
      <c r="J64" s="98">
        <f t="shared" si="3"/>
        <v>0.1126355</v>
      </c>
      <c r="K64" s="39"/>
      <c r="L64" s="98">
        <f t="shared" si="4"/>
        <v>0.067019985</v>
      </c>
      <c r="M64" s="110">
        <v>1000.44</v>
      </c>
      <c r="N64" s="98">
        <f t="shared" si="5"/>
        <v>0.0100044</v>
      </c>
      <c r="O64" s="98">
        <f t="shared" si="6"/>
        <v>0.077024385</v>
      </c>
      <c r="P64" s="98">
        <f t="shared" si="7"/>
        <v>0.00385121925</v>
      </c>
      <c r="Q64" s="98">
        <f t="shared" si="14"/>
        <v>0.01925609625</v>
      </c>
      <c r="R64" s="98">
        <f t="shared" si="9"/>
        <v>0.1001317005</v>
      </c>
      <c r="S64" s="98">
        <f t="shared" si="10"/>
        <v>0.1071409195</v>
      </c>
      <c r="T64" s="26" t="s">
        <v>653</v>
      </c>
      <c r="U64" s="105">
        <v>1.0</v>
      </c>
      <c r="V64" s="107"/>
      <c r="W64" s="107"/>
      <c r="X64" s="95"/>
      <c r="Y64" s="95"/>
      <c r="Z64" s="95"/>
      <c r="AA64" s="95"/>
      <c r="AB64" s="95"/>
      <c r="AC64" s="95"/>
      <c r="AD64" s="95"/>
      <c r="AE64" s="95"/>
    </row>
    <row r="65">
      <c r="A65" s="39" t="s">
        <v>491</v>
      </c>
      <c r="B65" s="39" t="s">
        <v>613</v>
      </c>
      <c r="C65" s="58" t="s">
        <v>492</v>
      </c>
      <c r="D65" s="58" t="s">
        <v>492</v>
      </c>
      <c r="E65" s="108">
        <f>1080+12453</f>
        <v>13533</v>
      </c>
      <c r="F65" s="108">
        <v>5.0</v>
      </c>
      <c r="G65" s="108">
        <f t="shared" si="13"/>
        <v>67665</v>
      </c>
      <c r="H65" s="108">
        <f>100000+1186000</f>
        <v>1286000</v>
      </c>
      <c r="I65" s="98">
        <f t="shared" si="2"/>
        <v>0.05261664075</v>
      </c>
      <c r="J65" s="98">
        <f t="shared" si="3"/>
        <v>0.1026166407</v>
      </c>
      <c r="K65" s="39"/>
      <c r="L65" s="98">
        <f t="shared" si="4"/>
        <v>0.0562998056</v>
      </c>
      <c r="M65" s="108">
        <f>1399.33+8076.92</f>
        <v>9476.25</v>
      </c>
      <c r="N65" s="98">
        <f t="shared" si="5"/>
        <v>0.00736877916</v>
      </c>
      <c r="O65" s="98">
        <f t="shared" si="6"/>
        <v>0.06366858476</v>
      </c>
      <c r="P65" s="98">
        <f t="shared" si="7"/>
        <v>0.003183429238</v>
      </c>
      <c r="Q65" s="98">
        <f t="shared" si="14"/>
        <v>0.01591714619</v>
      </c>
      <c r="R65" s="98">
        <f t="shared" si="9"/>
        <v>0.08276916019</v>
      </c>
      <c r="S65" s="98">
        <f t="shared" si="10"/>
        <v>0.0885630014</v>
      </c>
      <c r="T65" s="58" t="s">
        <v>654</v>
      </c>
      <c r="U65" s="108">
        <v>1.0</v>
      </c>
      <c r="V65" s="109"/>
      <c r="W65" s="109"/>
      <c r="X65" s="95"/>
      <c r="Y65" s="95"/>
      <c r="Z65" s="95"/>
      <c r="AA65" s="95"/>
      <c r="AB65" s="95"/>
      <c r="AC65" s="95"/>
      <c r="AD65" s="95"/>
      <c r="AE65" s="95"/>
    </row>
    <row r="66">
      <c r="A66" s="39" t="s">
        <v>493</v>
      </c>
      <c r="B66" s="39" t="s">
        <v>613</v>
      </c>
      <c r="C66" s="26" t="s">
        <v>494</v>
      </c>
      <c r="D66" s="26" t="s">
        <v>494</v>
      </c>
      <c r="E66" s="105">
        <v>980.0</v>
      </c>
      <c r="F66" s="105">
        <v>5.0</v>
      </c>
      <c r="G66" s="105">
        <f t="shared" si="13"/>
        <v>4900</v>
      </c>
      <c r="H66" s="105">
        <v>20000.0</v>
      </c>
      <c r="I66" s="98">
        <f t="shared" si="2"/>
        <v>0.245</v>
      </c>
      <c r="J66" s="98">
        <f t="shared" si="3"/>
        <v>0.295</v>
      </c>
      <c r="K66" s="39"/>
      <c r="L66" s="98">
        <f t="shared" si="4"/>
        <v>0.26215</v>
      </c>
      <c r="M66" s="105">
        <v>515.97</v>
      </c>
      <c r="N66" s="98">
        <f t="shared" si="5"/>
        <v>0.0257985</v>
      </c>
      <c r="O66" s="98">
        <f t="shared" si="6"/>
        <v>0.2879485</v>
      </c>
      <c r="P66" s="98">
        <f t="shared" si="7"/>
        <v>0.014397425</v>
      </c>
      <c r="Q66" s="98">
        <f t="shared" si="14"/>
        <v>0.071987125</v>
      </c>
      <c r="R66" s="98">
        <f t="shared" si="9"/>
        <v>0.37433305</v>
      </c>
      <c r="S66" s="98">
        <f t="shared" si="10"/>
        <v>0.4005363635</v>
      </c>
      <c r="T66" s="26" t="s">
        <v>655</v>
      </c>
      <c r="U66" s="105">
        <v>1.0</v>
      </c>
      <c r="V66" s="107"/>
      <c r="W66" s="107"/>
      <c r="X66" s="95"/>
      <c r="Y66" s="95"/>
      <c r="Z66" s="95"/>
      <c r="AA66" s="95"/>
      <c r="AB66" s="95"/>
      <c r="AC66" s="95"/>
      <c r="AD66" s="95"/>
      <c r="AE66" s="95"/>
    </row>
    <row r="67">
      <c r="A67" s="39" t="s">
        <v>495</v>
      </c>
      <c r="B67" s="39" t="s">
        <v>613</v>
      </c>
      <c r="C67" s="58" t="s">
        <v>496</v>
      </c>
      <c r="D67" s="58" t="s">
        <v>496</v>
      </c>
      <c r="E67" s="108">
        <v>289.4</v>
      </c>
      <c r="F67" s="108">
        <v>5.0</v>
      </c>
      <c r="G67" s="108">
        <f t="shared" si="13"/>
        <v>1447</v>
      </c>
      <c r="H67" s="108">
        <v>2000.0</v>
      </c>
      <c r="I67" s="98">
        <f t="shared" si="2"/>
        <v>0.7235</v>
      </c>
      <c r="J67" s="98">
        <f t="shared" si="3"/>
        <v>0.7735</v>
      </c>
      <c r="K67" s="39"/>
      <c r="L67" s="98">
        <f t="shared" si="4"/>
        <v>0.774145</v>
      </c>
      <c r="M67" s="108">
        <v>92.08</v>
      </c>
      <c r="N67" s="98">
        <f t="shared" si="5"/>
        <v>0.04604</v>
      </c>
      <c r="O67" s="98">
        <f t="shared" si="6"/>
        <v>0.820185</v>
      </c>
      <c r="P67" s="98">
        <f t="shared" si="7"/>
        <v>0.04100925</v>
      </c>
      <c r="Q67" s="98">
        <f t="shared" si="14"/>
        <v>0.20504625</v>
      </c>
      <c r="R67" s="98">
        <f t="shared" si="9"/>
        <v>1.0662405</v>
      </c>
      <c r="S67" s="98">
        <f t="shared" si="10"/>
        <v>1.140877335</v>
      </c>
      <c r="T67" s="58" t="s">
        <v>656</v>
      </c>
      <c r="U67" s="108">
        <v>1.0</v>
      </c>
      <c r="V67" s="109"/>
      <c r="W67" s="109"/>
      <c r="X67" s="95"/>
      <c r="Y67" s="95"/>
      <c r="Z67" s="95"/>
      <c r="AA67" s="95"/>
      <c r="AB67" s="95"/>
      <c r="AC67" s="95"/>
      <c r="AD67" s="95"/>
      <c r="AE67" s="95"/>
    </row>
    <row r="68">
      <c r="A68" s="86" t="s">
        <v>497</v>
      </c>
      <c r="B68" s="39" t="s">
        <v>613</v>
      </c>
      <c r="C68" s="26" t="s">
        <v>498</v>
      </c>
      <c r="D68" s="26" t="s">
        <v>498</v>
      </c>
      <c r="E68" s="105">
        <v>444.9</v>
      </c>
      <c r="F68" s="105">
        <v>5.0</v>
      </c>
      <c r="G68" s="105">
        <f t="shared" si="13"/>
        <v>2224.5</v>
      </c>
      <c r="H68" s="105">
        <v>36000.0</v>
      </c>
      <c r="I68" s="98">
        <f t="shared" si="2"/>
        <v>0.06179166667</v>
      </c>
      <c r="J68" s="98">
        <f t="shared" si="3"/>
        <v>0.1117916667</v>
      </c>
      <c r="K68" s="39"/>
      <c r="L68" s="98">
        <f t="shared" si="4"/>
        <v>0.06611708333</v>
      </c>
      <c r="M68" s="105">
        <v>353.81</v>
      </c>
      <c r="N68" s="98">
        <f t="shared" si="5"/>
        <v>0.009828055556</v>
      </c>
      <c r="O68" s="98">
        <f t="shared" si="6"/>
        <v>0.07594513889</v>
      </c>
      <c r="P68" s="98">
        <f t="shared" si="7"/>
        <v>0.003797256944</v>
      </c>
      <c r="Q68" s="98">
        <f t="shared" si="14"/>
        <v>0.01898628472</v>
      </c>
      <c r="R68" s="98">
        <f t="shared" si="9"/>
        <v>0.09872868056</v>
      </c>
      <c r="S68" s="98">
        <f t="shared" si="10"/>
        <v>0.1056396882</v>
      </c>
      <c r="T68" s="26" t="s">
        <v>657</v>
      </c>
      <c r="U68" s="105">
        <v>1.0</v>
      </c>
      <c r="V68" s="107"/>
      <c r="W68" s="107"/>
      <c r="X68" s="95"/>
      <c r="Y68" s="95"/>
      <c r="Z68" s="95"/>
      <c r="AA68" s="95"/>
      <c r="AB68" s="95"/>
      <c r="AC68" s="95"/>
      <c r="AD68" s="95"/>
      <c r="AE68" s="95"/>
    </row>
    <row r="69">
      <c r="A69" s="39" t="s">
        <v>500</v>
      </c>
      <c r="B69" s="39" t="s">
        <v>628</v>
      </c>
      <c r="C69" s="58" t="s">
        <v>501</v>
      </c>
      <c r="D69" s="58" t="s">
        <v>501</v>
      </c>
      <c r="E69" s="108">
        <v>522.96</v>
      </c>
      <c r="F69" s="108">
        <v>5.0</v>
      </c>
      <c r="G69" s="108">
        <f t="shared" si="13"/>
        <v>2614.8</v>
      </c>
      <c r="H69" s="108">
        <v>32000.0</v>
      </c>
      <c r="I69" s="98">
        <f t="shared" si="2"/>
        <v>0.0817125</v>
      </c>
      <c r="J69" s="98">
        <f t="shared" si="3"/>
        <v>0.1317125</v>
      </c>
      <c r="K69" s="39"/>
      <c r="L69" s="98">
        <f t="shared" si="4"/>
        <v>0.087432375</v>
      </c>
      <c r="M69" s="108">
        <v>427.91</v>
      </c>
      <c r="N69" s="98">
        <f t="shared" si="5"/>
        <v>0.0133721875</v>
      </c>
      <c r="O69" s="98">
        <f t="shared" si="6"/>
        <v>0.1008045625</v>
      </c>
      <c r="P69" s="98">
        <f t="shared" si="7"/>
        <v>0.005040228125</v>
      </c>
      <c r="Q69" s="98">
        <f t="shared" si="14"/>
        <v>0.02520114063</v>
      </c>
      <c r="R69" s="98">
        <f t="shared" si="9"/>
        <v>0.1310459313</v>
      </c>
      <c r="S69" s="98">
        <f t="shared" si="10"/>
        <v>0.1402191464</v>
      </c>
      <c r="T69" s="58" t="s">
        <v>658</v>
      </c>
      <c r="U69" s="108">
        <v>1.0</v>
      </c>
      <c r="V69" s="109"/>
      <c r="W69" s="109"/>
      <c r="X69" s="95"/>
      <c r="Y69" s="95"/>
      <c r="Z69" s="95"/>
      <c r="AA69" s="95"/>
      <c r="AB69" s="95"/>
      <c r="AC69" s="95"/>
      <c r="AD69" s="95"/>
      <c r="AE69" s="95"/>
    </row>
    <row r="70">
      <c r="A70" s="39" t="s">
        <v>502</v>
      </c>
      <c r="B70" s="39" t="s">
        <v>628</v>
      </c>
      <c r="C70" s="26" t="s">
        <v>503</v>
      </c>
      <c r="D70" s="26" t="s">
        <v>503</v>
      </c>
      <c r="E70" s="105">
        <v>251.48</v>
      </c>
      <c r="F70" s="105">
        <v>5.0</v>
      </c>
      <c r="G70" s="105">
        <f t="shared" si="13"/>
        <v>1257.4</v>
      </c>
      <c r="H70" s="105">
        <v>17000.0</v>
      </c>
      <c r="I70" s="98">
        <f t="shared" si="2"/>
        <v>0.07396470588</v>
      </c>
      <c r="J70" s="98">
        <f t="shared" si="3"/>
        <v>0.1239647059</v>
      </c>
      <c r="K70" s="39"/>
      <c r="L70" s="98">
        <f t="shared" si="4"/>
        <v>0.07914223529</v>
      </c>
      <c r="M70" s="105">
        <v>227.29</v>
      </c>
      <c r="N70" s="98">
        <f t="shared" si="5"/>
        <v>0.01337</v>
      </c>
      <c r="O70" s="98">
        <f t="shared" si="6"/>
        <v>0.09251223529</v>
      </c>
      <c r="P70" s="98">
        <f t="shared" si="7"/>
        <v>0.004625611765</v>
      </c>
      <c r="Q70" s="98">
        <f t="shared" si="14"/>
        <v>0.02312805882</v>
      </c>
      <c r="R70" s="98">
        <f t="shared" si="9"/>
        <v>0.1202659059</v>
      </c>
      <c r="S70" s="98">
        <f t="shared" si="10"/>
        <v>0.1286845193</v>
      </c>
      <c r="T70" s="26" t="s">
        <v>658</v>
      </c>
      <c r="U70" s="105">
        <v>1.0</v>
      </c>
      <c r="V70" s="107"/>
      <c r="W70" s="107"/>
      <c r="X70" s="95"/>
      <c r="Y70" s="95"/>
      <c r="Z70" s="95"/>
      <c r="AA70" s="95"/>
      <c r="AB70" s="95"/>
      <c r="AC70" s="95"/>
      <c r="AD70" s="95"/>
      <c r="AE70" s="95"/>
    </row>
    <row r="71">
      <c r="A71" s="39" t="s">
        <v>504</v>
      </c>
      <c r="B71" s="39" t="s">
        <v>607</v>
      </c>
      <c r="C71" s="58" t="s">
        <v>505</v>
      </c>
      <c r="D71" s="58" t="s">
        <v>505</v>
      </c>
      <c r="E71" s="108">
        <v>400.0</v>
      </c>
      <c r="F71" s="108">
        <v>5.0</v>
      </c>
      <c r="G71" s="108">
        <f t="shared" si="13"/>
        <v>2000</v>
      </c>
      <c r="H71" s="108">
        <v>2000.0</v>
      </c>
      <c r="I71" s="98">
        <f t="shared" si="2"/>
        <v>1</v>
      </c>
      <c r="J71" s="98">
        <f t="shared" si="3"/>
        <v>1.05</v>
      </c>
      <c r="K71" s="39"/>
      <c r="L71" s="98">
        <f t="shared" si="4"/>
        <v>1.07</v>
      </c>
      <c r="M71" s="108">
        <v>24.19</v>
      </c>
      <c r="N71" s="98">
        <f t="shared" si="5"/>
        <v>0.012095</v>
      </c>
      <c r="O71" s="98">
        <f t="shared" si="6"/>
        <v>1.082095</v>
      </c>
      <c r="P71" s="98">
        <f t="shared" si="7"/>
        <v>0.05410475</v>
      </c>
      <c r="Q71" s="98">
        <f t="shared" si="14"/>
        <v>0.27052375</v>
      </c>
      <c r="R71" s="98">
        <f t="shared" si="9"/>
        <v>1.4067235</v>
      </c>
      <c r="S71" s="98">
        <f t="shared" si="10"/>
        <v>1.505194145</v>
      </c>
      <c r="T71" s="58" t="s">
        <v>659</v>
      </c>
      <c r="U71" s="108">
        <v>1.0</v>
      </c>
      <c r="V71" s="109"/>
      <c r="W71" s="109"/>
      <c r="X71" s="95"/>
      <c r="Y71" s="95"/>
      <c r="Z71" s="95"/>
      <c r="AA71" s="95"/>
      <c r="AB71" s="95"/>
      <c r="AC71" s="95"/>
      <c r="AD71" s="95"/>
      <c r="AE71" s="95"/>
    </row>
    <row r="72">
      <c r="A72" s="39" t="s">
        <v>506</v>
      </c>
      <c r="B72" s="39" t="s">
        <v>607</v>
      </c>
      <c r="C72" s="26" t="s">
        <v>507</v>
      </c>
      <c r="D72" s="26" t="s">
        <v>507</v>
      </c>
      <c r="E72" s="105">
        <v>120.0</v>
      </c>
      <c r="F72" s="105">
        <v>5.0</v>
      </c>
      <c r="G72" s="105">
        <f t="shared" si="13"/>
        <v>600</v>
      </c>
      <c r="H72" s="105">
        <v>50.0</v>
      </c>
      <c r="I72" s="98">
        <f t="shared" si="2"/>
        <v>12</v>
      </c>
      <c r="J72" s="98">
        <f t="shared" si="3"/>
        <v>12.05</v>
      </c>
      <c r="K72" s="39"/>
      <c r="L72" s="98">
        <f t="shared" si="4"/>
        <v>12.84</v>
      </c>
      <c r="M72" s="105">
        <v>105.72</v>
      </c>
      <c r="N72" s="98">
        <f t="shared" si="5"/>
        <v>2.1144</v>
      </c>
      <c r="O72" s="98">
        <f t="shared" si="6"/>
        <v>14.9544</v>
      </c>
      <c r="P72" s="98">
        <f t="shared" si="7"/>
        <v>0.74772</v>
      </c>
      <c r="Q72" s="98">
        <f t="shared" si="14"/>
        <v>3.7386</v>
      </c>
      <c r="R72" s="98">
        <f t="shared" si="9"/>
        <v>19.44072</v>
      </c>
      <c r="S72" s="98">
        <f t="shared" si="10"/>
        <v>20.8015704</v>
      </c>
      <c r="T72" s="26" t="s">
        <v>660</v>
      </c>
      <c r="U72" s="105">
        <v>2.0</v>
      </c>
      <c r="V72" s="107"/>
      <c r="W72" s="107"/>
      <c r="X72" s="95"/>
      <c r="Y72" s="95"/>
      <c r="Z72" s="95"/>
      <c r="AA72" s="95"/>
      <c r="AB72" s="95"/>
      <c r="AC72" s="95"/>
      <c r="AD72" s="95"/>
      <c r="AE72" s="95"/>
    </row>
    <row r="73">
      <c r="A73" s="39" t="s">
        <v>278</v>
      </c>
      <c r="B73" s="39" t="s">
        <v>661</v>
      </c>
      <c r="C73" s="26" t="s">
        <v>279</v>
      </c>
      <c r="D73" s="26" t="s">
        <v>280</v>
      </c>
      <c r="E73" s="105">
        <v>607.0</v>
      </c>
      <c r="F73" s="105">
        <v>5.0</v>
      </c>
      <c r="G73" s="105">
        <f t="shared" si="13"/>
        <v>3035</v>
      </c>
      <c r="H73" s="105">
        <v>20.0</v>
      </c>
      <c r="I73" s="98">
        <f t="shared" si="2"/>
        <v>151.75</v>
      </c>
      <c r="J73" s="98">
        <f t="shared" si="3"/>
        <v>151.8</v>
      </c>
      <c r="K73" s="39"/>
      <c r="L73" s="98">
        <f t="shared" si="4"/>
        <v>162.3725</v>
      </c>
      <c r="M73" s="105">
        <v>353.81</v>
      </c>
      <c r="N73" s="98">
        <f t="shared" si="5"/>
        <v>17.6905</v>
      </c>
      <c r="O73" s="98">
        <f t="shared" si="6"/>
        <v>180.063</v>
      </c>
      <c r="P73" s="98">
        <f t="shared" si="7"/>
        <v>9.00315</v>
      </c>
      <c r="Q73" s="98">
        <f t="shared" si="14"/>
        <v>45.01575</v>
      </c>
      <c r="R73" s="98">
        <f t="shared" si="9"/>
        <v>234.0819</v>
      </c>
      <c r="S73" s="98">
        <f t="shared" si="10"/>
        <v>250.467633</v>
      </c>
      <c r="T73" s="26" t="s">
        <v>662</v>
      </c>
      <c r="U73" s="105">
        <v>1.0</v>
      </c>
      <c r="V73" s="107"/>
      <c r="W73" s="107"/>
      <c r="X73" s="95"/>
      <c r="Y73" s="95"/>
      <c r="Z73" s="95"/>
      <c r="AA73" s="95"/>
      <c r="AB73" s="95"/>
      <c r="AC73" s="95"/>
      <c r="AD73" s="95"/>
      <c r="AE73" s="95"/>
    </row>
    <row r="74">
      <c r="A74" s="39" t="s">
        <v>508</v>
      </c>
      <c r="B74" s="39" t="s">
        <v>661</v>
      </c>
      <c r="C74" s="58" t="s">
        <v>509</v>
      </c>
      <c r="D74" s="51" t="s">
        <v>509</v>
      </c>
      <c r="E74" s="108">
        <v>270.0</v>
      </c>
      <c r="F74" s="108">
        <v>5.0</v>
      </c>
      <c r="G74" s="108">
        <f t="shared" si="13"/>
        <v>1350</v>
      </c>
      <c r="H74" s="108">
        <v>12000.0</v>
      </c>
      <c r="I74" s="98">
        <f t="shared" si="2"/>
        <v>0.1125</v>
      </c>
      <c r="J74" s="98">
        <f t="shared" si="3"/>
        <v>0.1625</v>
      </c>
      <c r="K74" s="39"/>
      <c r="L74" s="98">
        <f t="shared" si="4"/>
        <v>0.120375</v>
      </c>
      <c r="M74" s="108">
        <v>243.0</v>
      </c>
      <c r="N74" s="98">
        <f t="shared" si="5"/>
        <v>0.02025</v>
      </c>
      <c r="O74" s="98">
        <f t="shared" si="6"/>
        <v>0.140625</v>
      </c>
      <c r="P74" s="98">
        <f t="shared" si="7"/>
        <v>0.00703125</v>
      </c>
      <c r="Q74" s="98">
        <f t="shared" si="14"/>
        <v>0.03515625</v>
      </c>
      <c r="R74" s="98">
        <f t="shared" si="9"/>
        <v>0.1828125</v>
      </c>
      <c r="S74" s="98">
        <f t="shared" si="10"/>
        <v>0.195609375</v>
      </c>
      <c r="T74" s="58" t="s">
        <v>639</v>
      </c>
      <c r="U74" s="108">
        <v>1.0</v>
      </c>
      <c r="V74" s="109"/>
      <c r="W74" s="109"/>
      <c r="X74" s="95"/>
      <c r="Y74" s="95"/>
      <c r="Z74" s="95"/>
      <c r="AA74" s="95"/>
      <c r="AB74" s="95"/>
      <c r="AC74" s="95"/>
      <c r="AD74" s="95"/>
      <c r="AE74" s="95"/>
    </row>
    <row r="75">
      <c r="A75" s="39" t="s">
        <v>510</v>
      </c>
      <c r="B75" s="39" t="s">
        <v>607</v>
      </c>
      <c r="C75" s="26" t="s">
        <v>511</v>
      </c>
      <c r="D75" s="26" t="s">
        <v>512</v>
      </c>
      <c r="E75" s="105">
        <v>351.4</v>
      </c>
      <c r="F75" s="105">
        <v>5.0</v>
      </c>
      <c r="G75" s="105">
        <f t="shared" si="13"/>
        <v>1757</v>
      </c>
      <c r="H75" s="105">
        <v>10000.0</v>
      </c>
      <c r="I75" s="98">
        <f t="shared" si="2"/>
        <v>0.1757</v>
      </c>
      <c r="J75" s="98">
        <f t="shared" si="3"/>
        <v>0.2257</v>
      </c>
      <c r="K75" s="39"/>
      <c r="L75" s="98">
        <f t="shared" si="4"/>
        <v>0.187999</v>
      </c>
      <c r="M75" s="105">
        <v>377.78</v>
      </c>
      <c r="N75" s="98">
        <f t="shared" si="5"/>
        <v>0.037778</v>
      </c>
      <c r="O75" s="98">
        <f t="shared" si="6"/>
        <v>0.225777</v>
      </c>
      <c r="P75" s="98">
        <f t="shared" si="7"/>
        <v>0.01128885</v>
      </c>
      <c r="Q75" s="98">
        <f t="shared" si="14"/>
        <v>0.05644425</v>
      </c>
      <c r="R75" s="98">
        <f t="shared" si="9"/>
        <v>0.2935101</v>
      </c>
      <c r="S75" s="98">
        <f t="shared" si="10"/>
        <v>0.314055807</v>
      </c>
      <c r="T75" s="26" t="s">
        <v>663</v>
      </c>
      <c r="U75" s="105">
        <v>1.0</v>
      </c>
      <c r="V75" s="107"/>
      <c r="W75" s="107"/>
      <c r="X75" s="95"/>
      <c r="Y75" s="95"/>
      <c r="Z75" s="95"/>
      <c r="AA75" s="95"/>
      <c r="AB75" s="95"/>
      <c r="AC75" s="95"/>
      <c r="AD75" s="95"/>
      <c r="AE75" s="95"/>
    </row>
    <row r="76">
      <c r="A76" s="39" t="s">
        <v>513</v>
      </c>
      <c r="B76" s="39" t="s">
        <v>607</v>
      </c>
      <c r="C76" s="58" t="s">
        <v>514</v>
      </c>
      <c r="D76" s="58" t="s">
        <v>515</v>
      </c>
      <c r="E76" s="108">
        <f>498+515.68</f>
        <v>1013.68</v>
      </c>
      <c r="F76" s="108">
        <v>5.0</v>
      </c>
      <c r="G76" s="108">
        <f t="shared" si="13"/>
        <v>5068.4</v>
      </c>
      <c r="H76" s="108">
        <f>10000+10000</f>
        <v>20000</v>
      </c>
      <c r="I76" s="98">
        <f t="shared" si="2"/>
        <v>0.25342</v>
      </c>
      <c r="J76" s="98">
        <f t="shared" si="3"/>
        <v>0.30342</v>
      </c>
      <c r="K76" s="39"/>
      <c r="L76" s="98">
        <f t="shared" si="4"/>
        <v>0.2711594</v>
      </c>
      <c r="M76" s="108">
        <f>389.4+293.76</f>
        <v>683.16</v>
      </c>
      <c r="N76" s="98">
        <f t="shared" si="5"/>
        <v>0.034158</v>
      </c>
      <c r="O76" s="98">
        <f t="shared" si="6"/>
        <v>0.3053174</v>
      </c>
      <c r="P76" s="98">
        <f t="shared" si="7"/>
        <v>0.01526587</v>
      </c>
      <c r="Q76" s="98">
        <f t="shared" si="14"/>
        <v>0.07632935</v>
      </c>
      <c r="R76" s="98">
        <f t="shared" si="9"/>
        <v>0.39691262</v>
      </c>
      <c r="S76" s="98">
        <f t="shared" si="10"/>
        <v>0.4246965034</v>
      </c>
      <c r="T76" s="58" t="s">
        <v>664</v>
      </c>
      <c r="U76" s="108">
        <v>2.0</v>
      </c>
      <c r="V76" s="109"/>
      <c r="W76" s="109"/>
      <c r="X76" s="95"/>
      <c r="Y76" s="95"/>
      <c r="Z76" s="95"/>
      <c r="AA76" s="95"/>
      <c r="AB76" s="95"/>
      <c r="AC76" s="95"/>
      <c r="AD76" s="95"/>
      <c r="AE76" s="95"/>
    </row>
    <row r="77">
      <c r="A77" s="58" t="s">
        <v>516</v>
      </c>
      <c r="B77" s="39" t="s">
        <v>613</v>
      </c>
      <c r="C77" s="58" t="s">
        <v>517</v>
      </c>
      <c r="D77" s="58" t="s">
        <v>517</v>
      </c>
      <c r="E77" s="108">
        <v>162.02</v>
      </c>
      <c r="F77" s="108">
        <v>5.0</v>
      </c>
      <c r="G77" s="108">
        <f t="shared" si="13"/>
        <v>810.1</v>
      </c>
      <c r="H77" s="108">
        <v>2000.0</v>
      </c>
      <c r="I77" s="98">
        <f t="shared" si="2"/>
        <v>0.40505</v>
      </c>
      <c r="J77" s="98">
        <f t="shared" si="3"/>
        <v>0.45505</v>
      </c>
      <c r="K77" s="39"/>
      <c r="L77" s="98">
        <f t="shared" si="4"/>
        <v>0.4334035</v>
      </c>
      <c r="M77" s="108">
        <v>394.57</v>
      </c>
      <c r="N77" s="98">
        <f t="shared" si="5"/>
        <v>0.197285</v>
      </c>
      <c r="O77" s="98">
        <f t="shared" si="6"/>
        <v>0.6306885</v>
      </c>
      <c r="P77" s="98">
        <f t="shared" si="7"/>
        <v>0.031534425</v>
      </c>
      <c r="Q77" s="98">
        <f t="shared" si="14"/>
        <v>0.157672125</v>
      </c>
      <c r="R77" s="98">
        <f t="shared" si="9"/>
        <v>0.81989505</v>
      </c>
      <c r="S77" s="98">
        <f t="shared" si="10"/>
        <v>0.8772877035</v>
      </c>
      <c r="T77" s="58" t="s">
        <v>665</v>
      </c>
      <c r="U77" s="108">
        <v>1.0</v>
      </c>
      <c r="V77" s="109"/>
      <c r="W77" s="109"/>
      <c r="X77" s="95"/>
      <c r="Y77" s="95"/>
      <c r="Z77" s="95"/>
      <c r="AA77" s="95"/>
      <c r="AB77" s="95"/>
      <c r="AC77" s="95"/>
      <c r="AD77" s="95"/>
      <c r="AE77" s="95"/>
    </row>
    <row r="78">
      <c r="A78" s="26" t="s">
        <v>518</v>
      </c>
      <c r="B78" s="39" t="s">
        <v>613</v>
      </c>
      <c r="C78" s="26" t="s">
        <v>519</v>
      </c>
      <c r="D78" s="26" t="s">
        <v>519</v>
      </c>
      <c r="E78" s="105">
        <v>168.84</v>
      </c>
      <c r="F78" s="105">
        <v>5.0</v>
      </c>
      <c r="G78" s="105">
        <f t="shared" si="13"/>
        <v>844.2</v>
      </c>
      <c r="H78" s="105">
        <v>1000.0</v>
      </c>
      <c r="I78" s="98">
        <f t="shared" si="2"/>
        <v>0.8442</v>
      </c>
      <c r="J78" s="98">
        <f t="shared" si="3"/>
        <v>0.8942</v>
      </c>
      <c r="K78" s="39"/>
      <c r="L78" s="98">
        <f t="shared" si="4"/>
        <v>0.903294</v>
      </c>
      <c r="M78" s="105">
        <v>228.03</v>
      </c>
      <c r="N78" s="98">
        <f t="shared" si="5"/>
        <v>0.22803</v>
      </c>
      <c r="O78" s="98">
        <f t="shared" si="6"/>
        <v>1.131324</v>
      </c>
      <c r="P78" s="98">
        <f t="shared" si="7"/>
        <v>0.0565662</v>
      </c>
      <c r="Q78" s="98">
        <f t="shared" si="14"/>
        <v>0.282831</v>
      </c>
      <c r="R78" s="98">
        <f t="shared" si="9"/>
        <v>1.4707212</v>
      </c>
      <c r="S78" s="98">
        <f t="shared" si="10"/>
        <v>1.573671684</v>
      </c>
      <c r="T78" s="26" t="s">
        <v>665</v>
      </c>
      <c r="U78" s="105">
        <v>1.0</v>
      </c>
      <c r="V78" s="107"/>
      <c r="W78" s="107"/>
      <c r="X78" s="95"/>
      <c r="Y78" s="95"/>
      <c r="Z78" s="95"/>
      <c r="AA78" s="95"/>
      <c r="AB78" s="95"/>
      <c r="AC78" s="95"/>
      <c r="AD78" s="95"/>
      <c r="AE78" s="95"/>
    </row>
    <row r="79">
      <c r="A79" s="58" t="s">
        <v>281</v>
      </c>
      <c r="B79" s="39" t="s">
        <v>661</v>
      </c>
      <c r="C79" s="58" t="s">
        <v>282</v>
      </c>
      <c r="D79" s="58" t="s">
        <v>282</v>
      </c>
      <c r="E79" s="108">
        <v>3530.0</v>
      </c>
      <c r="F79" s="108">
        <v>5.0</v>
      </c>
      <c r="G79" s="108">
        <f t="shared" si="13"/>
        <v>17650</v>
      </c>
      <c r="H79" s="108">
        <v>2000.0</v>
      </c>
      <c r="I79" s="98">
        <f t="shared" si="2"/>
        <v>8.825</v>
      </c>
      <c r="J79" s="98">
        <f t="shared" si="3"/>
        <v>8.875</v>
      </c>
      <c r="K79" s="39"/>
      <c r="L79" s="98">
        <f t="shared" si="4"/>
        <v>9.44275</v>
      </c>
      <c r="M79" s="108">
        <v>239.8</v>
      </c>
      <c r="N79" s="98">
        <f t="shared" si="5"/>
        <v>0.1199</v>
      </c>
      <c r="O79" s="98">
        <f t="shared" si="6"/>
        <v>9.56265</v>
      </c>
      <c r="P79" s="98">
        <f t="shared" si="7"/>
        <v>0.4781325</v>
      </c>
      <c r="Q79" s="98">
        <f t="shared" si="14"/>
        <v>2.3906625</v>
      </c>
      <c r="R79" s="98">
        <f t="shared" si="9"/>
        <v>12.431445</v>
      </c>
      <c r="S79" s="98">
        <f t="shared" si="10"/>
        <v>13.30164615</v>
      </c>
      <c r="T79" s="106" t="s">
        <v>634</v>
      </c>
      <c r="U79" s="108">
        <v>1.0</v>
      </c>
      <c r="V79" s="109"/>
      <c r="W79" s="109"/>
      <c r="X79" s="95"/>
      <c r="Y79" s="95"/>
      <c r="Z79" s="95"/>
      <c r="AA79" s="95"/>
      <c r="AB79" s="95"/>
      <c r="AC79" s="95"/>
      <c r="AD79" s="95"/>
      <c r="AE79" s="95"/>
    </row>
    <row r="80">
      <c r="A80" s="26" t="s">
        <v>520</v>
      </c>
      <c r="B80" s="39" t="s">
        <v>661</v>
      </c>
      <c r="C80" s="26" t="s">
        <v>521</v>
      </c>
      <c r="D80" s="26" t="s">
        <v>521</v>
      </c>
      <c r="E80" s="105">
        <v>299.0</v>
      </c>
      <c r="F80" s="105">
        <v>5.0</v>
      </c>
      <c r="G80" s="105">
        <f t="shared" si="13"/>
        <v>1495</v>
      </c>
      <c r="H80" s="105">
        <v>5000.0</v>
      </c>
      <c r="I80" s="98">
        <f t="shared" si="2"/>
        <v>0.299</v>
      </c>
      <c r="J80" s="98">
        <f t="shared" si="3"/>
        <v>0.349</v>
      </c>
      <c r="K80" s="39"/>
      <c r="L80" s="98">
        <f t="shared" si="4"/>
        <v>0.31993</v>
      </c>
      <c r="M80" s="105">
        <v>132.04</v>
      </c>
      <c r="N80" s="98">
        <f t="shared" si="5"/>
        <v>0.026408</v>
      </c>
      <c r="O80" s="98">
        <f t="shared" si="6"/>
        <v>0.346338</v>
      </c>
      <c r="P80" s="98">
        <f t="shared" si="7"/>
        <v>0.0173169</v>
      </c>
      <c r="Q80" s="98">
        <f t="shared" si="14"/>
        <v>0.0865845</v>
      </c>
      <c r="R80" s="98">
        <f t="shared" si="9"/>
        <v>0.4502394</v>
      </c>
      <c r="S80" s="98">
        <f t="shared" si="10"/>
        <v>0.481756158</v>
      </c>
      <c r="T80" s="26" t="s">
        <v>666</v>
      </c>
      <c r="U80" s="105">
        <v>1.0</v>
      </c>
      <c r="V80" s="107"/>
      <c r="W80" s="107"/>
      <c r="X80" s="95"/>
      <c r="Y80" s="95"/>
      <c r="Z80" s="95"/>
      <c r="AA80" s="95"/>
      <c r="AB80" s="95"/>
      <c r="AC80" s="95"/>
      <c r="AD80" s="95"/>
      <c r="AE80" s="95"/>
    </row>
    <row r="81">
      <c r="A81" s="58" t="s">
        <v>522</v>
      </c>
      <c r="B81" s="39" t="s">
        <v>661</v>
      </c>
      <c r="C81" s="58" t="s">
        <v>523</v>
      </c>
      <c r="D81" s="58" t="s">
        <v>523</v>
      </c>
      <c r="E81" s="108">
        <v>299.5</v>
      </c>
      <c r="F81" s="108">
        <v>5.0</v>
      </c>
      <c r="G81" s="108">
        <f t="shared" si="13"/>
        <v>1497.5</v>
      </c>
      <c r="H81" s="108">
        <v>15000.0</v>
      </c>
      <c r="I81" s="98">
        <f t="shared" si="2"/>
        <v>0.09983333333</v>
      </c>
      <c r="J81" s="98">
        <f t="shared" si="3"/>
        <v>0.1498333333</v>
      </c>
      <c r="K81" s="39"/>
      <c r="L81" s="98">
        <f t="shared" si="4"/>
        <v>0.1068216667</v>
      </c>
      <c r="M81" s="108">
        <v>396.11</v>
      </c>
      <c r="N81" s="98">
        <f t="shared" si="5"/>
        <v>0.02640733333</v>
      </c>
      <c r="O81" s="98">
        <f t="shared" si="6"/>
        <v>0.133229</v>
      </c>
      <c r="P81" s="98">
        <f t="shared" si="7"/>
        <v>0.00666145</v>
      </c>
      <c r="Q81" s="98">
        <f t="shared" si="14"/>
        <v>0.03330725</v>
      </c>
      <c r="R81" s="98">
        <f t="shared" si="9"/>
        <v>0.1731977</v>
      </c>
      <c r="S81" s="98">
        <f t="shared" si="10"/>
        <v>0.185321539</v>
      </c>
      <c r="T81" s="58" t="s">
        <v>666</v>
      </c>
      <c r="U81" s="108">
        <v>1.0</v>
      </c>
      <c r="V81" s="109"/>
      <c r="W81" s="109"/>
      <c r="X81" s="95"/>
      <c r="Y81" s="95"/>
      <c r="Z81" s="95"/>
      <c r="AA81" s="95"/>
      <c r="AB81" s="95"/>
      <c r="AC81" s="95"/>
      <c r="AD81" s="95"/>
      <c r="AE81" s="95"/>
    </row>
    <row r="82">
      <c r="A82" s="26" t="s">
        <v>47</v>
      </c>
      <c r="B82" s="39" t="s">
        <v>613</v>
      </c>
      <c r="C82" s="26" t="s">
        <v>48</v>
      </c>
      <c r="D82" s="26" t="s">
        <v>48</v>
      </c>
      <c r="E82" s="105">
        <f>118.28+130.86</f>
        <v>249.14</v>
      </c>
      <c r="F82" s="105">
        <v>5.0</v>
      </c>
      <c r="G82" s="105">
        <f t="shared" si="13"/>
        <v>1245.7</v>
      </c>
      <c r="H82" s="105">
        <f>5000+5000</f>
        <v>10000</v>
      </c>
      <c r="I82" s="98">
        <f t="shared" si="2"/>
        <v>0.12457</v>
      </c>
      <c r="J82" s="98">
        <f t="shared" si="3"/>
        <v>0.17457</v>
      </c>
      <c r="K82" s="39"/>
      <c r="L82" s="98">
        <f t="shared" si="4"/>
        <v>0.1332899</v>
      </c>
      <c r="M82" s="105">
        <f>39.31+39.31</f>
        <v>78.62</v>
      </c>
      <c r="N82" s="98">
        <f t="shared" si="5"/>
        <v>0.007862</v>
      </c>
      <c r="O82" s="98">
        <f t="shared" si="6"/>
        <v>0.1411519</v>
      </c>
      <c r="P82" s="98">
        <f t="shared" si="7"/>
        <v>0.007057595</v>
      </c>
      <c r="Q82" s="98">
        <f t="shared" si="14"/>
        <v>0.035287975</v>
      </c>
      <c r="R82" s="98">
        <f t="shared" si="9"/>
        <v>0.18349747</v>
      </c>
      <c r="S82" s="98">
        <f t="shared" si="10"/>
        <v>0.1963422929</v>
      </c>
      <c r="T82" s="26" t="s">
        <v>667</v>
      </c>
      <c r="U82" s="105">
        <v>1.0</v>
      </c>
      <c r="V82" s="107"/>
      <c r="W82" s="107"/>
      <c r="X82" s="95"/>
      <c r="Y82" s="95"/>
      <c r="Z82" s="95"/>
      <c r="AA82" s="95"/>
      <c r="AB82" s="95"/>
      <c r="AC82" s="95"/>
      <c r="AD82" s="95"/>
      <c r="AE82" s="95"/>
    </row>
    <row r="83">
      <c r="A83" s="58" t="s">
        <v>524</v>
      </c>
      <c r="B83" s="39" t="s">
        <v>613</v>
      </c>
      <c r="C83" s="58" t="s">
        <v>525</v>
      </c>
      <c r="D83" s="58" t="s">
        <v>525</v>
      </c>
      <c r="E83" s="108">
        <v>21.8</v>
      </c>
      <c r="F83" s="108">
        <v>5.0</v>
      </c>
      <c r="G83" s="108">
        <f t="shared" si="13"/>
        <v>109</v>
      </c>
      <c r="H83" s="108">
        <v>1500.0</v>
      </c>
      <c r="I83" s="98">
        <f t="shared" si="2"/>
        <v>0.07266666667</v>
      </c>
      <c r="J83" s="98">
        <f t="shared" si="3"/>
        <v>0.1226666667</v>
      </c>
      <c r="K83" s="39"/>
      <c r="L83" s="98">
        <f t="shared" si="4"/>
        <v>0.07775333333</v>
      </c>
      <c r="M83" s="108">
        <v>118.26</v>
      </c>
      <c r="N83" s="98">
        <f t="shared" si="5"/>
        <v>0.07884</v>
      </c>
      <c r="O83" s="98">
        <f t="shared" si="6"/>
        <v>0.1565933333</v>
      </c>
      <c r="P83" s="98">
        <f t="shared" si="7"/>
        <v>0.007829666667</v>
      </c>
      <c r="Q83" s="98">
        <f t="shared" si="14"/>
        <v>0.03914833333</v>
      </c>
      <c r="R83" s="98">
        <f t="shared" si="9"/>
        <v>0.2035713333</v>
      </c>
      <c r="S83" s="98">
        <f t="shared" si="10"/>
        <v>0.2178213267</v>
      </c>
      <c r="T83" s="58" t="s">
        <v>668</v>
      </c>
      <c r="U83" s="108">
        <v>1.0</v>
      </c>
      <c r="V83" s="109"/>
      <c r="W83" s="109"/>
      <c r="X83" s="95"/>
      <c r="Y83" s="95"/>
      <c r="Z83" s="95"/>
      <c r="AA83" s="95"/>
      <c r="AB83" s="95"/>
      <c r="AC83" s="95"/>
      <c r="AD83" s="95"/>
      <c r="AE83" s="95"/>
    </row>
    <row r="84">
      <c r="A84" s="26" t="s">
        <v>526</v>
      </c>
      <c r="B84" s="39" t="s">
        <v>613</v>
      </c>
      <c r="C84" s="26" t="s">
        <v>527</v>
      </c>
      <c r="D84" s="26" t="s">
        <v>527</v>
      </c>
      <c r="E84" s="105">
        <v>220.0</v>
      </c>
      <c r="F84" s="105">
        <v>5.0</v>
      </c>
      <c r="G84" s="105">
        <f t="shared" si="13"/>
        <v>1100</v>
      </c>
      <c r="H84" s="105">
        <v>1000.0</v>
      </c>
      <c r="I84" s="98">
        <f t="shared" si="2"/>
        <v>1.1</v>
      </c>
      <c r="J84" s="98">
        <f t="shared" si="3"/>
        <v>1.15</v>
      </c>
      <c r="K84" s="39"/>
      <c r="L84" s="98">
        <f t="shared" si="4"/>
        <v>1.177</v>
      </c>
      <c r="M84" s="105">
        <v>306.935</v>
      </c>
      <c r="N84" s="98">
        <f t="shared" si="5"/>
        <v>0.306935</v>
      </c>
      <c r="O84" s="98">
        <f t="shared" si="6"/>
        <v>1.483935</v>
      </c>
      <c r="P84" s="98">
        <f t="shared" si="7"/>
        <v>0.07419675</v>
      </c>
      <c r="Q84" s="98">
        <f t="shared" si="14"/>
        <v>0.37098375</v>
      </c>
      <c r="R84" s="98">
        <f t="shared" si="9"/>
        <v>1.9291155</v>
      </c>
      <c r="S84" s="98">
        <f t="shared" si="10"/>
        <v>2.064153585</v>
      </c>
      <c r="T84" s="26" t="s">
        <v>669</v>
      </c>
      <c r="U84" s="105">
        <v>1.0</v>
      </c>
      <c r="V84" s="107"/>
      <c r="W84" s="107"/>
      <c r="X84" s="95"/>
      <c r="Y84" s="95"/>
      <c r="Z84" s="95"/>
      <c r="AA84" s="95"/>
      <c r="AB84" s="95"/>
      <c r="AC84" s="95"/>
      <c r="AD84" s="95"/>
      <c r="AE84" s="95"/>
    </row>
    <row r="85">
      <c r="A85" s="58" t="s">
        <v>528</v>
      </c>
      <c r="B85" s="39" t="s">
        <v>613</v>
      </c>
      <c r="C85" s="58" t="s">
        <v>529</v>
      </c>
      <c r="D85" s="58" t="s">
        <v>529</v>
      </c>
      <c r="E85" s="108">
        <v>190.0</v>
      </c>
      <c r="F85" s="108">
        <v>5.0</v>
      </c>
      <c r="G85" s="108">
        <f t="shared" si="13"/>
        <v>950</v>
      </c>
      <c r="H85" s="108">
        <v>1000.0</v>
      </c>
      <c r="I85" s="98">
        <f t="shared" si="2"/>
        <v>0.95</v>
      </c>
      <c r="J85" s="98">
        <f t="shared" si="3"/>
        <v>1</v>
      </c>
      <c r="K85" s="39"/>
      <c r="L85" s="98">
        <f t="shared" si="4"/>
        <v>1.0165</v>
      </c>
      <c r="M85" s="108">
        <v>306.935</v>
      </c>
      <c r="N85" s="98">
        <f t="shared" si="5"/>
        <v>0.306935</v>
      </c>
      <c r="O85" s="98">
        <f t="shared" si="6"/>
        <v>1.323435</v>
      </c>
      <c r="P85" s="98">
        <f t="shared" si="7"/>
        <v>0.06617175</v>
      </c>
      <c r="Q85" s="98">
        <f t="shared" si="14"/>
        <v>0.33085875</v>
      </c>
      <c r="R85" s="98">
        <f t="shared" si="9"/>
        <v>1.7204655</v>
      </c>
      <c r="S85" s="98">
        <f t="shared" si="10"/>
        <v>1.840898085</v>
      </c>
      <c r="T85" s="58" t="s">
        <v>669</v>
      </c>
      <c r="U85" s="108">
        <v>1.0</v>
      </c>
      <c r="V85" s="109"/>
      <c r="W85" s="109"/>
      <c r="X85" s="95"/>
      <c r="Y85" s="95"/>
      <c r="Z85" s="95"/>
      <c r="AA85" s="95"/>
      <c r="AB85" s="95"/>
      <c r="AC85" s="95"/>
      <c r="AD85" s="95"/>
      <c r="AE85" s="95"/>
    </row>
    <row r="86">
      <c r="A86" s="26" t="s">
        <v>530</v>
      </c>
      <c r="B86" s="39" t="s">
        <v>613</v>
      </c>
      <c r="C86" s="26" t="s">
        <v>531</v>
      </c>
      <c r="D86" s="26" t="s">
        <v>531</v>
      </c>
      <c r="E86" s="105">
        <v>180.0</v>
      </c>
      <c r="F86" s="105">
        <v>5.0</v>
      </c>
      <c r="G86" s="105">
        <f t="shared" si="13"/>
        <v>900</v>
      </c>
      <c r="H86" s="105">
        <v>1000.0</v>
      </c>
      <c r="I86" s="98">
        <f t="shared" si="2"/>
        <v>0.9</v>
      </c>
      <c r="J86" s="98">
        <f t="shared" si="3"/>
        <v>0.95</v>
      </c>
      <c r="K86" s="39"/>
      <c r="L86" s="98">
        <f t="shared" si="4"/>
        <v>0.963</v>
      </c>
      <c r="M86" s="105">
        <v>306.935</v>
      </c>
      <c r="N86" s="98">
        <f t="shared" si="5"/>
        <v>0.306935</v>
      </c>
      <c r="O86" s="98">
        <f t="shared" si="6"/>
        <v>1.269935</v>
      </c>
      <c r="P86" s="98">
        <f t="shared" si="7"/>
        <v>0.06349675</v>
      </c>
      <c r="Q86" s="98">
        <f t="shared" si="14"/>
        <v>0.31748375</v>
      </c>
      <c r="R86" s="98">
        <f t="shared" si="9"/>
        <v>1.6509155</v>
      </c>
      <c r="S86" s="98">
        <f t="shared" si="10"/>
        <v>1.766479585</v>
      </c>
      <c r="T86" s="26" t="s">
        <v>669</v>
      </c>
      <c r="U86" s="105">
        <v>1.0</v>
      </c>
      <c r="V86" s="107"/>
      <c r="W86" s="107"/>
      <c r="X86" s="95"/>
      <c r="Y86" s="95"/>
      <c r="Z86" s="95"/>
      <c r="AA86" s="95"/>
      <c r="AB86" s="95"/>
      <c r="AC86" s="95"/>
      <c r="AD86" s="95"/>
      <c r="AE86" s="95"/>
    </row>
    <row r="87">
      <c r="A87" s="58" t="s">
        <v>532</v>
      </c>
      <c r="B87" s="39" t="s">
        <v>613</v>
      </c>
      <c r="C87" s="58" t="s">
        <v>533</v>
      </c>
      <c r="D87" s="58" t="s">
        <v>533</v>
      </c>
      <c r="E87" s="108">
        <v>170.0</v>
      </c>
      <c r="F87" s="108">
        <v>5.0</v>
      </c>
      <c r="G87" s="108">
        <f t="shared" si="13"/>
        <v>850</v>
      </c>
      <c r="H87" s="108">
        <v>1000.0</v>
      </c>
      <c r="I87" s="98">
        <f t="shared" si="2"/>
        <v>0.85</v>
      </c>
      <c r="J87" s="98">
        <f t="shared" si="3"/>
        <v>0.9</v>
      </c>
      <c r="K87" s="39"/>
      <c r="L87" s="98">
        <f t="shared" si="4"/>
        <v>0.9095</v>
      </c>
      <c r="M87" s="108">
        <v>306.935</v>
      </c>
      <c r="N87" s="98">
        <f t="shared" si="5"/>
        <v>0.306935</v>
      </c>
      <c r="O87" s="98">
        <f t="shared" si="6"/>
        <v>1.216435</v>
      </c>
      <c r="P87" s="98">
        <f t="shared" si="7"/>
        <v>0.06082175</v>
      </c>
      <c r="Q87" s="98">
        <f t="shared" si="14"/>
        <v>0.30410875</v>
      </c>
      <c r="R87" s="98">
        <f t="shared" si="9"/>
        <v>1.5813655</v>
      </c>
      <c r="S87" s="98">
        <f t="shared" si="10"/>
        <v>1.692061085</v>
      </c>
      <c r="T87" s="58" t="s">
        <v>669</v>
      </c>
      <c r="U87" s="108">
        <v>1.0</v>
      </c>
      <c r="V87" s="109"/>
      <c r="W87" s="109"/>
      <c r="X87" s="95"/>
      <c r="Y87" s="95"/>
      <c r="Z87" s="95"/>
      <c r="AA87" s="95"/>
      <c r="AB87" s="95"/>
      <c r="AC87" s="95"/>
      <c r="AD87" s="95"/>
      <c r="AE87" s="95"/>
    </row>
    <row r="88">
      <c r="A88" s="26" t="s">
        <v>534</v>
      </c>
      <c r="B88" s="39" t="s">
        <v>613</v>
      </c>
      <c r="C88" s="26" t="s">
        <v>535</v>
      </c>
      <c r="D88" s="26" t="s">
        <v>535</v>
      </c>
      <c r="E88" s="105">
        <v>391.05</v>
      </c>
      <c r="F88" s="105">
        <v>5.0</v>
      </c>
      <c r="G88" s="105">
        <f t="shared" si="13"/>
        <v>1955.25</v>
      </c>
      <c r="H88" s="105">
        <v>576.0</v>
      </c>
      <c r="I88" s="98">
        <f t="shared" si="2"/>
        <v>3.39453125</v>
      </c>
      <c r="J88" s="98">
        <f t="shared" si="3"/>
        <v>3.44453125</v>
      </c>
      <c r="K88" s="39"/>
      <c r="L88" s="98">
        <f t="shared" si="4"/>
        <v>3.632148438</v>
      </c>
      <c r="M88" s="105">
        <v>249.33</v>
      </c>
      <c r="N88" s="98">
        <f t="shared" si="5"/>
        <v>0.4328645833</v>
      </c>
      <c r="O88" s="98">
        <f t="shared" si="6"/>
        <v>4.065013021</v>
      </c>
      <c r="P88" s="98">
        <f t="shared" si="7"/>
        <v>0.203250651</v>
      </c>
      <c r="Q88" s="98">
        <f t="shared" si="14"/>
        <v>1.016253255</v>
      </c>
      <c r="R88" s="98">
        <f t="shared" si="9"/>
        <v>5.284516927</v>
      </c>
      <c r="S88" s="98">
        <f t="shared" si="10"/>
        <v>5.654433112</v>
      </c>
      <c r="T88" s="26" t="s">
        <v>670</v>
      </c>
      <c r="U88" s="105">
        <v>1.0</v>
      </c>
      <c r="V88" s="107"/>
      <c r="W88" s="107"/>
      <c r="X88" s="95"/>
      <c r="Y88" s="95"/>
      <c r="Z88" s="95"/>
      <c r="AA88" s="95"/>
      <c r="AB88" s="95"/>
      <c r="AC88" s="95"/>
      <c r="AD88" s="95"/>
      <c r="AE88" s="95"/>
    </row>
    <row r="89">
      <c r="A89" s="58" t="s">
        <v>536</v>
      </c>
      <c r="B89" s="39" t="s">
        <v>613</v>
      </c>
      <c r="C89" s="58" t="s">
        <v>537</v>
      </c>
      <c r="D89" s="58" t="s">
        <v>537</v>
      </c>
      <c r="E89" s="108">
        <v>87.12</v>
      </c>
      <c r="F89" s="108">
        <v>5.0</v>
      </c>
      <c r="G89" s="108">
        <f t="shared" si="13"/>
        <v>435.6</v>
      </c>
      <c r="H89" s="108">
        <v>120.0</v>
      </c>
      <c r="I89" s="98">
        <f t="shared" si="2"/>
        <v>3.63</v>
      </c>
      <c r="J89" s="98">
        <f t="shared" si="3"/>
        <v>3.68</v>
      </c>
      <c r="K89" s="39"/>
      <c r="L89" s="98">
        <f t="shared" si="4"/>
        <v>3.8841</v>
      </c>
      <c r="M89" s="108">
        <v>51.94</v>
      </c>
      <c r="N89" s="98">
        <f t="shared" si="5"/>
        <v>0.4328333333</v>
      </c>
      <c r="O89" s="98">
        <f t="shared" si="6"/>
        <v>4.316933333</v>
      </c>
      <c r="P89" s="98">
        <f t="shared" si="7"/>
        <v>0.2158466667</v>
      </c>
      <c r="Q89" s="98">
        <f t="shared" si="14"/>
        <v>1.079233333</v>
      </c>
      <c r="R89" s="98">
        <f t="shared" si="9"/>
        <v>5.612013333</v>
      </c>
      <c r="S89" s="98">
        <f t="shared" si="10"/>
        <v>6.004854267</v>
      </c>
      <c r="T89" s="58" t="s">
        <v>670</v>
      </c>
      <c r="U89" s="108">
        <v>1.0</v>
      </c>
      <c r="V89" s="109"/>
      <c r="W89" s="109"/>
      <c r="X89" s="95"/>
      <c r="Y89" s="95"/>
      <c r="Z89" s="95"/>
      <c r="AA89" s="95"/>
      <c r="AB89" s="95"/>
      <c r="AC89" s="95"/>
      <c r="AD89" s="95"/>
      <c r="AE89" s="95"/>
    </row>
    <row r="90">
      <c r="A90" s="26" t="s">
        <v>538</v>
      </c>
      <c r="B90" s="39" t="s">
        <v>613</v>
      </c>
      <c r="C90" s="26" t="s">
        <v>539</v>
      </c>
      <c r="D90" s="26" t="s">
        <v>539</v>
      </c>
      <c r="E90" s="105">
        <v>87.12</v>
      </c>
      <c r="F90" s="105">
        <v>5.0</v>
      </c>
      <c r="G90" s="105">
        <f t="shared" si="13"/>
        <v>435.6</v>
      </c>
      <c r="H90" s="105">
        <v>120.0</v>
      </c>
      <c r="I90" s="98">
        <f t="shared" si="2"/>
        <v>3.63</v>
      </c>
      <c r="J90" s="98">
        <f t="shared" si="3"/>
        <v>3.68</v>
      </c>
      <c r="K90" s="39"/>
      <c r="L90" s="98">
        <f t="shared" si="4"/>
        <v>3.8841</v>
      </c>
      <c r="M90" s="105">
        <v>51.94</v>
      </c>
      <c r="N90" s="98">
        <f t="shared" si="5"/>
        <v>0.4328333333</v>
      </c>
      <c r="O90" s="98">
        <f t="shared" si="6"/>
        <v>4.316933333</v>
      </c>
      <c r="P90" s="98">
        <f t="shared" si="7"/>
        <v>0.2158466667</v>
      </c>
      <c r="Q90" s="98">
        <f t="shared" si="14"/>
        <v>1.079233333</v>
      </c>
      <c r="R90" s="98">
        <f t="shared" si="9"/>
        <v>5.612013333</v>
      </c>
      <c r="S90" s="98">
        <f t="shared" si="10"/>
        <v>6.004854267</v>
      </c>
      <c r="T90" s="26" t="s">
        <v>670</v>
      </c>
      <c r="U90" s="105">
        <v>1.0</v>
      </c>
      <c r="V90" s="107"/>
      <c r="W90" s="107"/>
      <c r="X90" s="95"/>
      <c r="Y90" s="95"/>
      <c r="Z90" s="95"/>
      <c r="AA90" s="95"/>
      <c r="AB90" s="95"/>
      <c r="AC90" s="95"/>
      <c r="AD90" s="95"/>
      <c r="AE90" s="95"/>
    </row>
    <row r="91">
      <c r="A91" s="58" t="s">
        <v>50</v>
      </c>
      <c r="B91" s="39" t="s">
        <v>613</v>
      </c>
      <c r="C91" s="58" t="s">
        <v>51</v>
      </c>
      <c r="D91" s="58" t="s">
        <v>51</v>
      </c>
      <c r="E91" s="108">
        <v>64.5</v>
      </c>
      <c r="F91" s="108">
        <v>5.0</v>
      </c>
      <c r="G91" s="108">
        <f t="shared" si="13"/>
        <v>322.5</v>
      </c>
      <c r="H91" s="108">
        <v>1000.0</v>
      </c>
      <c r="I91" s="98">
        <f t="shared" si="2"/>
        <v>0.3225</v>
      </c>
      <c r="J91" s="98">
        <f t="shared" si="3"/>
        <v>0.3725</v>
      </c>
      <c r="K91" s="39"/>
      <c r="L91" s="98">
        <f t="shared" si="4"/>
        <v>0.345075</v>
      </c>
      <c r="M91" s="108">
        <v>20.0</v>
      </c>
      <c r="N91" s="98">
        <f t="shared" si="5"/>
        <v>0.02</v>
      </c>
      <c r="O91" s="98">
        <f t="shared" si="6"/>
        <v>0.365075</v>
      </c>
      <c r="P91" s="98">
        <f t="shared" si="7"/>
        <v>0.01825375</v>
      </c>
      <c r="Q91" s="98">
        <f t="shared" si="14"/>
        <v>0.09126875</v>
      </c>
      <c r="R91" s="98">
        <f t="shared" si="9"/>
        <v>0.4745975</v>
      </c>
      <c r="S91" s="98">
        <f t="shared" si="10"/>
        <v>0.507819325</v>
      </c>
      <c r="T91" s="58" t="s">
        <v>671</v>
      </c>
      <c r="U91" s="108">
        <v>1.0</v>
      </c>
      <c r="V91" s="109"/>
      <c r="W91" s="109"/>
      <c r="X91" s="95"/>
      <c r="Y91" s="95"/>
      <c r="Z91" s="95"/>
      <c r="AA91" s="95"/>
      <c r="AB91" s="95"/>
      <c r="AC91" s="95"/>
      <c r="AD91" s="95"/>
      <c r="AE91" s="95"/>
    </row>
    <row r="92">
      <c r="A92" s="26" t="s">
        <v>540</v>
      </c>
      <c r="B92" s="39" t="s">
        <v>661</v>
      </c>
      <c r="C92" s="26" t="s">
        <v>541</v>
      </c>
      <c r="D92" s="26" t="s">
        <v>542</v>
      </c>
      <c r="E92" s="105">
        <v>537.51</v>
      </c>
      <c r="F92" s="105">
        <v>5.0</v>
      </c>
      <c r="G92" s="105">
        <f t="shared" si="13"/>
        <v>2687.55</v>
      </c>
      <c r="H92" s="105">
        <v>1440.0</v>
      </c>
      <c r="I92" s="98">
        <f t="shared" si="2"/>
        <v>1.866354167</v>
      </c>
      <c r="J92" s="98">
        <f t="shared" si="3"/>
        <v>1.916354167</v>
      </c>
      <c r="K92" s="39"/>
      <c r="L92" s="98">
        <f t="shared" si="4"/>
        <v>1.996998958</v>
      </c>
      <c r="M92" s="105">
        <v>583.8</v>
      </c>
      <c r="N92" s="98">
        <f t="shared" si="5"/>
        <v>0.4054166667</v>
      </c>
      <c r="O92" s="98">
        <f t="shared" si="6"/>
        <v>2.402415625</v>
      </c>
      <c r="P92" s="98">
        <f t="shared" si="7"/>
        <v>0.1201207813</v>
      </c>
      <c r="Q92" s="98">
        <f t="shared" si="14"/>
        <v>0.6006039063</v>
      </c>
      <c r="R92" s="98">
        <f t="shared" si="9"/>
        <v>3.123140313</v>
      </c>
      <c r="S92" s="98">
        <f t="shared" si="10"/>
        <v>3.341760134</v>
      </c>
      <c r="T92" s="26" t="s">
        <v>672</v>
      </c>
      <c r="U92" s="105">
        <v>1.0</v>
      </c>
      <c r="V92" s="107"/>
      <c r="W92" s="107"/>
      <c r="X92" s="95"/>
      <c r="Y92" s="95"/>
      <c r="Z92" s="95"/>
      <c r="AA92" s="95"/>
      <c r="AB92" s="95"/>
      <c r="AC92" s="95"/>
      <c r="AD92" s="95"/>
      <c r="AE92" s="95"/>
    </row>
    <row r="93">
      <c r="A93" s="58" t="s">
        <v>396</v>
      </c>
      <c r="B93" s="39" t="s">
        <v>610</v>
      </c>
      <c r="C93" s="58" t="s">
        <v>397</v>
      </c>
      <c r="D93" s="58" t="s">
        <v>398</v>
      </c>
      <c r="E93" s="108">
        <v>859.64</v>
      </c>
      <c r="F93" s="108">
        <v>5.0</v>
      </c>
      <c r="G93" s="108">
        <f t="shared" si="13"/>
        <v>4298.2</v>
      </c>
      <c r="H93" s="108">
        <v>10.0</v>
      </c>
      <c r="I93" s="98">
        <f t="shared" si="2"/>
        <v>429.82</v>
      </c>
      <c r="J93" s="98">
        <f t="shared" si="3"/>
        <v>429.87</v>
      </c>
      <c r="K93" s="39"/>
      <c r="L93" s="98">
        <f t="shared" si="4"/>
        <v>459.9074</v>
      </c>
      <c r="M93" s="108">
        <v>135.91</v>
      </c>
      <c r="N93" s="98">
        <f t="shared" si="5"/>
        <v>13.591</v>
      </c>
      <c r="O93" s="98">
        <f t="shared" si="6"/>
        <v>473.4984</v>
      </c>
      <c r="P93" s="98">
        <f t="shared" si="7"/>
        <v>23.67492</v>
      </c>
      <c r="Q93" s="98">
        <f t="shared" si="14"/>
        <v>118.3746</v>
      </c>
      <c r="R93" s="98">
        <f t="shared" si="9"/>
        <v>615.54792</v>
      </c>
      <c r="S93" s="98">
        <f t="shared" si="10"/>
        <v>658.6362744</v>
      </c>
      <c r="T93" s="58" t="s">
        <v>673</v>
      </c>
      <c r="U93" s="108">
        <v>1.0</v>
      </c>
      <c r="V93" s="109"/>
      <c r="W93" s="109"/>
      <c r="X93" s="95"/>
      <c r="Y93" s="95"/>
      <c r="Z93" s="95"/>
      <c r="AA93" s="95"/>
      <c r="AB93" s="95"/>
      <c r="AC93" s="95"/>
      <c r="AD93" s="95"/>
      <c r="AE93" s="95"/>
    </row>
    <row r="94">
      <c r="A94" s="26" t="s">
        <v>171</v>
      </c>
      <c r="B94" s="39" t="s">
        <v>607</v>
      </c>
      <c r="C94" s="26" t="s">
        <v>172</v>
      </c>
      <c r="D94" s="26" t="s">
        <v>172</v>
      </c>
      <c r="E94" s="105">
        <v>2500.0</v>
      </c>
      <c r="F94" s="105">
        <v>5.0</v>
      </c>
      <c r="G94" s="105">
        <f t="shared" si="13"/>
        <v>12500</v>
      </c>
      <c r="H94" s="105">
        <v>1000.0</v>
      </c>
      <c r="I94" s="98">
        <f t="shared" si="2"/>
        <v>12.5</v>
      </c>
      <c r="J94" s="98">
        <f t="shared" si="3"/>
        <v>12.55</v>
      </c>
      <c r="K94" s="39"/>
      <c r="L94" s="98">
        <f t="shared" si="4"/>
        <v>13.375</v>
      </c>
      <c r="M94" s="105">
        <v>491.5</v>
      </c>
      <c r="N94" s="98">
        <f t="shared" si="5"/>
        <v>0.4915</v>
      </c>
      <c r="O94" s="98">
        <f t="shared" si="6"/>
        <v>13.8665</v>
      </c>
      <c r="P94" s="98">
        <f t="shared" si="7"/>
        <v>0.693325</v>
      </c>
      <c r="Q94" s="98">
        <f t="shared" si="14"/>
        <v>3.466625</v>
      </c>
      <c r="R94" s="98">
        <f t="shared" si="9"/>
        <v>18.02645</v>
      </c>
      <c r="S94" s="98">
        <f t="shared" si="10"/>
        <v>19.2883015</v>
      </c>
      <c r="T94" s="26" t="s">
        <v>674</v>
      </c>
      <c r="U94" s="105">
        <v>1.0</v>
      </c>
      <c r="V94" s="107"/>
      <c r="W94" s="107"/>
      <c r="X94" s="95"/>
      <c r="Y94" s="95"/>
      <c r="Z94" s="95"/>
      <c r="AA94" s="95"/>
      <c r="AB94" s="95"/>
      <c r="AC94" s="95"/>
      <c r="AD94" s="95"/>
      <c r="AE94" s="95"/>
    </row>
    <row r="95">
      <c r="A95" s="58" t="s">
        <v>357</v>
      </c>
      <c r="B95" s="39" t="s">
        <v>610</v>
      </c>
      <c r="C95" s="58" t="s">
        <v>358</v>
      </c>
      <c r="D95" s="58" t="s">
        <v>358</v>
      </c>
      <c r="E95" s="108">
        <v>241.0</v>
      </c>
      <c r="F95" s="108">
        <v>5.0</v>
      </c>
      <c r="G95" s="108">
        <f t="shared" si="13"/>
        <v>1205</v>
      </c>
      <c r="H95" s="108">
        <v>5.0</v>
      </c>
      <c r="I95" s="98">
        <f t="shared" si="2"/>
        <v>241</v>
      </c>
      <c r="J95" s="98">
        <f t="shared" si="3"/>
        <v>241.05</v>
      </c>
      <c r="K95" s="39"/>
      <c r="L95" s="98">
        <f t="shared" si="4"/>
        <v>257.87</v>
      </c>
      <c r="M95" s="108">
        <v>85.955</v>
      </c>
      <c r="N95" s="98">
        <f t="shared" si="5"/>
        <v>17.191</v>
      </c>
      <c r="O95" s="98">
        <f t="shared" si="6"/>
        <v>275.061</v>
      </c>
      <c r="P95" s="98">
        <f t="shared" si="7"/>
        <v>13.75305</v>
      </c>
      <c r="Q95" s="98">
        <f t="shared" si="14"/>
        <v>68.76525</v>
      </c>
      <c r="R95" s="98">
        <f t="shared" si="9"/>
        <v>357.5793</v>
      </c>
      <c r="S95" s="98">
        <f t="shared" si="10"/>
        <v>382.609851</v>
      </c>
      <c r="T95" s="58" t="s">
        <v>675</v>
      </c>
      <c r="U95" s="108">
        <v>1.0</v>
      </c>
      <c r="V95" s="109"/>
      <c r="W95" s="109"/>
      <c r="X95" s="95"/>
      <c r="Y95" s="95"/>
      <c r="Z95" s="95"/>
      <c r="AA95" s="95"/>
      <c r="AB95" s="95"/>
      <c r="AC95" s="95"/>
      <c r="AD95" s="95"/>
      <c r="AE95" s="95"/>
    </row>
    <row r="96">
      <c r="A96" s="26" t="s">
        <v>359</v>
      </c>
      <c r="B96" s="39" t="s">
        <v>610</v>
      </c>
      <c r="C96" s="26" t="s">
        <v>360</v>
      </c>
      <c r="D96" s="26" t="s">
        <v>360</v>
      </c>
      <c r="E96" s="105">
        <v>231.0</v>
      </c>
      <c r="F96" s="105">
        <v>5.0</v>
      </c>
      <c r="G96" s="105">
        <f t="shared" si="13"/>
        <v>1155</v>
      </c>
      <c r="H96" s="105">
        <v>5.0</v>
      </c>
      <c r="I96" s="98">
        <f t="shared" si="2"/>
        <v>231</v>
      </c>
      <c r="J96" s="98">
        <f t="shared" si="3"/>
        <v>231.05</v>
      </c>
      <c r="K96" s="39"/>
      <c r="L96" s="98">
        <f t="shared" si="4"/>
        <v>247.17</v>
      </c>
      <c r="M96" s="105">
        <v>85.955</v>
      </c>
      <c r="N96" s="98">
        <f t="shared" si="5"/>
        <v>17.191</v>
      </c>
      <c r="O96" s="98">
        <f t="shared" si="6"/>
        <v>264.361</v>
      </c>
      <c r="P96" s="98">
        <f t="shared" si="7"/>
        <v>13.21805</v>
      </c>
      <c r="Q96" s="98">
        <f t="shared" si="14"/>
        <v>66.09025</v>
      </c>
      <c r="R96" s="98">
        <f t="shared" si="9"/>
        <v>343.6693</v>
      </c>
      <c r="S96" s="98">
        <f t="shared" si="10"/>
        <v>367.726151</v>
      </c>
      <c r="T96" s="26" t="s">
        <v>675</v>
      </c>
      <c r="U96" s="105">
        <v>1.0</v>
      </c>
      <c r="V96" s="107"/>
      <c r="W96" s="107"/>
      <c r="X96" s="95"/>
      <c r="Y96" s="95"/>
      <c r="Z96" s="95"/>
      <c r="AA96" s="95"/>
      <c r="AB96" s="95"/>
      <c r="AC96" s="95"/>
      <c r="AD96" s="95"/>
      <c r="AE96" s="95"/>
    </row>
    <row r="97">
      <c r="A97" s="58" t="s">
        <v>310</v>
      </c>
      <c r="B97" s="39" t="s">
        <v>610</v>
      </c>
      <c r="C97" s="26" t="s">
        <v>311</v>
      </c>
      <c r="D97" s="26" t="s">
        <v>311</v>
      </c>
      <c r="E97" s="108">
        <v>2350.0</v>
      </c>
      <c r="F97" s="108">
        <v>5.0</v>
      </c>
      <c r="G97" s="108">
        <f t="shared" si="13"/>
        <v>11750</v>
      </c>
      <c r="H97" s="108">
        <v>1000.0</v>
      </c>
      <c r="I97" s="98">
        <f t="shared" si="2"/>
        <v>11.75</v>
      </c>
      <c r="J97" s="98">
        <f t="shared" si="3"/>
        <v>11.8</v>
      </c>
      <c r="K97" s="39"/>
      <c r="L97" s="98">
        <f t="shared" si="4"/>
        <v>12.5725</v>
      </c>
      <c r="M97" s="108">
        <v>284.42</v>
      </c>
      <c r="N97" s="98">
        <f t="shared" si="5"/>
        <v>0.28442</v>
      </c>
      <c r="O97" s="98">
        <f t="shared" si="6"/>
        <v>12.85692</v>
      </c>
      <c r="P97" s="98">
        <f t="shared" si="7"/>
        <v>0.642846</v>
      </c>
      <c r="Q97" s="98">
        <f t="shared" si="14"/>
        <v>3.21423</v>
      </c>
      <c r="R97" s="98">
        <f t="shared" si="9"/>
        <v>16.713996</v>
      </c>
      <c r="S97" s="98">
        <f t="shared" si="10"/>
        <v>17.88397572</v>
      </c>
      <c r="T97" s="58" t="s">
        <v>675</v>
      </c>
      <c r="U97" s="108">
        <v>2.0</v>
      </c>
      <c r="V97" s="109"/>
      <c r="W97" s="109"/>
      <c r="X97" s="95"/>
      <c r="Y97" s="95"/>
      <c r="Z97" s="95"/>
      <c r="AA97" s="95"/>
      <c r="AB97" s="95"/>
      <c r="AC97" s="95"/>
      <c r="AD97" s="95"/>
      <c r="AE97" s="95"/>
    </row>
    <row r="98">
      <c r="A98" s="26" t="s">
        <v>227</v>
      </c>
      <c r="B98" s="39" t="s">
        <v>610</v>
      </c>
      <c r="C98" s="26" t="s">
        <v>228</v>
      </c>
      <c r="D98" s="26" t="s">
        <v>228</v>
      </c>
      <c r="E98" s="105">
        <v>85.8</v>
      </c>
      <c r="F98" s="105">
        <v>5.0</v>
      </c>
      <c r="G98" s="105">
        <f t="shared" si="13"/>
        <v>429</v>
      </c>
      <c r="H98" s="105">
        <v>10.0</v>
      </c>
      <c r="I98" s="98">
        <f t="shared" si="2"/>
        <v>42.9</v>
      </c>
      <c r="J98" s="98">
        <f t="shared" si="3"/>
        <v>42.95</v>
      </c>
      <c r="K98" s="39"/>
      <c r="L98" s="98">
        <f t="shared" si="4"/>
        <v>45.903</v>
      </c>
      <c r="M98" s="105">
        <v>29.27</v>
      </c>
      <c r="N98" s="98">
        <f t="shared" si="5"/>
        <v>2.927</v>
      </c>
      <c r="O98" s="98">
        <f t="shared" si="6"/>
        <v>48.83</v>
      </c>
      <c r="P98" s="98">
        <f t="shared" si="7"/>
        <v>2.4415</v>
      </c>
      <c r="Q98" s="98">
        <f t="shared" si="14"/>
        <v>12.2075</v>
      </c>
      <c r="R98" s="98">
        <f t="shared" si="9"/>
        <v>63.479</v>
      </c>
      <c r="S98" s="98">
        <f t="shared" si="10"/>
        <v>67.92253</v>
      </c>
      <c r="T98" s="26" t="s">
        <v>675</v>
      </c>
      <c r="U98" s="105">
        <v>3.0</v>
      </c>
      <c r="V98" s="107"/>
      <c r="W98" s="107"/>
      <c r="X98" s="95"/>
      <c r="Y98" s="95"/>
      <c r="Z98" s="95"/>
      <c r="AA98" s="95"/>
      <c r="AB98" s="95"/>
      <c r="AC98" s="95"/>
      <c r="AD98" s="95"/>
      <c r="AE98" s="95"/>
    </row>
    <row r="99">
      <c r="A99" s="58" t="s">
        <v>229</v>
      </c>
      <c r="B99" s="39" t="s">
        <v>610</v>
      </c>
      <c r="C99" s="58" t="s">
        <v>230</v>
      </c>
      <c r="D99" s="58" t="s">
        <v>230</v>
      </c>
      <c r="E99" s="108">
        <v>85.8</v>
      </c>
      <c r="F99" s="108">
        <v>5.0</v>
      </c>
      <c r="G99" s="108">
        <f t="shared" si="13"/>
        <v>429</v>
      </c>
      <c r="H99" s="108">
        <v>10.0</v>
      </c>
      <c r="I99" s="98">
        <f t="shared" si="2"/>
        <v>42.9</v>
      </c>
      <c r="J99" s="98">
        <f t="shared" si="3"/>
        <v>42.95</v>
      </c>
      <c r="K99" s="39"/>
      <c r="L99" s="98">
        <f t="shared" si="4"/>
        <v>45.903</v>
      </c>
      <c r="M99" s="108">
        <v>29.27</v>
      </c>
      <c r="N99" s="98">
        <f t="shared" si="5"/>
        <v>2.927</v>
      </c>
      <c r="O99" s="98">
        <f t="shared" si="6"/>
        <v>48.83</v>
      </c>
      <c r="P99" s="98">
        <f t="shared" si="7"/>
        <v>2.4415</v>
      </c>
      <c r="Q99" s="98">
        <f t="shared" si="14"/>
        <v>12.2075</v>
      </c>
      <c r="R99" s="98">
        <f t="shared" si="9"/>
        <v>63.479</v>
      </c>
      <c r="S99" s="98">
        <f t="shared" si="10"/>
        <v>67.92253</v>
      </c>
      <c r="T99" s="58" t="s">
        <v>675</v>
      </c>
      <c r="U99" s="108">
        <v>3.0</v>
      </c>
      <c r="V99" s="109"/>
      <c r="W99" s="109"/>
      <c r="X99" s="95"/>
      <c r="Y99" s="95"/>
      <c r="Z99" s="95"/>
      <c r="AA99" s="95"/>
      <c r="AB99" s="95"/>
      <c r="AC99" s="95"/>
      <c r="AD99" s="95"/>
      <c r="AE99" s="95"/>
    </row>
    <row r="100">
      <c r="A100" s="26" t="s">
        <v>231</v>
      </c>
      <c r="B100" s="39" t="s">
        <v>610</v>
      </c>
      <c r="C100" s="26" t="s">
        <v>232</v>
      </c>
      <c r="D100" s="26" t="s">
        <v>232</v>
      </c>
      <c r="E100" s="105">
        <v>85.8</v>
      </c>
      <c r="F100" s="105">
        <v>5.0</v>
      </c>
      <c r="G100" s="105">
        <f t="shared" si="13"/>
        <v>429</v>
      </c>
      <c r="H100" s="105">
        <v>10.0</v>
      </c>
      <c r="I100" s="98">
        <f t="shared" si="2"/>
        <v>42.9</v>
      </c>
      <c r="J100" s="98">
        <f t="shared" si="3"/>
        <v>42.95</v>
      </c>
      <c r="K100" s="39"/>
      <c r="L100" s="98">
        <f t="shared" si="4"/>
        <v>45.903</v>
      </c>
      <c r="M100" s="105">
        <v>29.27</v>
      </c>
      <c r="N100" s="98">
        <f t="shared" si="5"/>
        <v>2.927</v>
      </c>
      <c r="O100" s="98">
        <f t="shared" si="6"/>
        <v>48.83</v>
      </c>
      <c r="P100" s="98">
        <f t="shared" si="7"/>
        <v>2.4415</v>
      </c>
      <c r="Q100" s="98">
        <f t="shared" si="14"/>
        <v>12.2075</v>
      </c>
      <c r="R100" s="98">
        <f t="shared" si="9"/>
        <v>63.479</v>
      </c>
      <c r="S100" s="98">
        <f t="shared" si="10"/>
        <v>67.92253</v>
      </c>
      <c r="T100" s="26" t="s">
        <v>675</v>
      </c>
      <c r="U100" s="105">
        <v>3.0</v>
      </c>
      <c r="V100" s="107"/>
      <c r="W100" s="107"/>
      <c r="X100" s="95"/>
      <c r="Y100" s="95"/>
      <c r="Z100" s="95"/>
      <c r="AA100" s="95"/>
      <c r="AB100" s="95"/>
      <c r="AC100" s="95"/>
      <c r="AD100" s="95"/>
      <c r="AE100" s="95"/>
    </row>
    <row r="101">
      <c r="A101" s="58" t="s">
        <v>233</v>
      </c>
      <c r="B101" s="39" t="s">
        <v>610</v>
      </c>
      <c r="C101" s="58" t="s">
        <v>234</v>
      </c>
      <c r="D101" s="58" t="s">
        <v>234</v>
      </c>
      <c r="E101" s="108">
        <v>85.8</v>
      </c>
      <c r="F101" s="108">
        <v>5.0</v>
      </c>
      <c r="G101" s="108">
        <f t="shared" si="13"/>
        <v>429</v>
      </c>
      <c r="H101" s="108">
        <v>10.0</v>
      </c>
      <c r="I101" s="98">
        <f t="shared" si="2"/>
        <v>42.9</v>
      </c>
      <c r="J101" s="98">
        <f t="shared" si="3"/>
        <v>42.95</v>
      </c>
      <c r="K101" s="39"/>
      <c r="L101" s="98">
        <f t="shared" si="4"/>
        <v>45.903</v>
      </c>
      <c r="M101" s="108">
        <v>29.27</v>
      </c>
      <c r="N101" s="98">
        <f t="shared" si="5"/>
        <v>2.927</v>
      </c>
      <c r="O101" s="98">
        <f t="shared" si="6"/>
        <v>48.83</v>
      </c>
      <c r="P101" s="98">
        <f t="shared" si="7"/>
        <v>2.4415</v>
      </c>
      <c r="Q101" s="98">
        <f t="shared" si="14"/>
        <v>12.2075</v>
      </c>
      <c r="R101" s="98">
        <f t="shared" si="9"/>
        <v>63.479</v>
      </c>
      <c r="S101" s="98">
        <f t="shared" si="10"/>
        <v>67.92253</v>
      </c>
      <c r="T101" s="58" t="s">
        <v>675</v>
      </c>
      <c r="U101" s="108">
        <v>3.0</v>
      </c>
      <c r="V101" s="109"/>
      <c r="W101" s="109"/>
      <c r="X101" s="95"/>
      <c r="Y101" s="95"/>
      <c r="Z101" s="95"/>
      <c r="AA101" s="95"/>
      <c r="AB101" s="95"/>
      <c r="AC101" s="95"/>
      <c r="AD101" s="95"/>
      <c r="AE101" s="95"/>
    </row>
    <row r="102">
      <c r="A102" s="26" t="s">
        <v>235</v>
      </c>
      <c r="B102" s="39" t="s">
        <v>610</v>
      </c>
      <c r="C102" s="26" t="s">
        <v>236</v>
      </c>
      <c r="D102" s="26" t="s">
        <v>236</v>
      </c>
      <c r="E102" s="105">
        <v>171.6</v>
      </c>
      <c r="F102" s="105">
        <v>5.0</v>
      </c>
      <c r="G102" s="105">
        <f t="shared" si="13"/>
        <v>858</v>
      </c>
      <c r="H102" s="105">
        <v>20.0</v>
      </c>
      <c r="I102" s="98">
        <f t="shared" si="2"/>
        <v>42.9</v>
      </c>
      <c r="J102" s="98">
        <f t="shared" si="3"/>
        <v>42.95</v>
      </c>
      <c r="K102" s="39"/>
      <c r="L102" s="98">
        <f t="shared" si="4"/>
        <v>45.903</v>
      </c>
      <c r="M102" s="105">
        <v>58.53</v>
      </c>
      <c r="N102" s="98">
        <f t="shared" si="5"/>
        <v>2.9265</v>
      </c>
      <c r="O102" s="98">
        <f t="shared" si="6"/>
        <v>48.8295</v>
      </c>
      <c r="P102" s="98">
        <f t="shared" si="7"/>
        <v>2.441475</v>
      </c>
      <c r="Q102" s="98">
        <f t="shared" si="14"/>
        <v>12.207375</v>
      </c>
      <c r="R102" s="98">
        <f t="shared" si="9"/>
        <v>63.47835</v>
      </c>
      <c r="S102" s="98">
        <f t="shared" si="10"/>
        <v>67.9218345</v>
      </c>
      <c r="T102" s="26" t="s">
        <v>675</v>
      </c>
      <c r="U102" s="105">
        <v>3.0</v>
      </c>
      <c r="V102" s="107"/>
      <c r="W102" s="107"/>
      <c r="X102" s="95"/>
      <c r="Y102" s="95"/>
      <c r="Z102" s="95"/>
      <c r="AA102" s="95"/>
      <c r="AB102" s="95"/>
      <c r="AC102" s="95"/>
      <c r="AD102" s="95"/>
      <c r="AE102" s="95"/>
    </row>
    <row r="103">
      <c r="A103" s="58" t="s">
        <v>237</v>
      </c>
      <c r="B103" s="39" t="s">
        <v>610</v>
      </c>
      <c r="C103" s="58" t="s">
        <v>238</v>
      </c>
      <c r="D103" s="58" t="s">
        <v>238</v>
      </c>
      <c r="E103" s="108">
        <v>85.8</v>
      </c>
      <c r="F103" s="108">
        <v>5.0</v>
      </c>
      <c r="G103" s="108">
        <f t="shared" si="13"/>
        <v>429</v>
      </c>
      <c r="H103" s="108">
        <v>10.0</v>
      </c>
      <c r="I103" s="98">
        <f t="shared" si="2"/>
        <v>42.9</v>
      </c>
      <c r="J103" s="98">
        <f t="shared" si="3"/>
        <v>42.95</v>
      </c>
      <c r="K103" s="39"/>
      <c r="L103" s="98">
        <f t="shared" si="4"/>
        <v>45.903</v>
      </c>
      <c r="M103" s="108">
        <v>29.27</v>
      </c>
      <c r="N103" s="98">
        <f t="shared" si="5"/>
        <v>2.927</v>
      </c>
      <c r="O103" s="98">
        <f t="shared" si="6"/>
        <v>48.83</v>
      </c>
      <c r="P103" s="98">
        <f t="shared" si="7"/>
        <v>2.4415</v>
      </c>
      <c r="Q103" s="98">
        <f t="shared" si="14"/>
        <v>12.2075</v>
      </c>
      <c r="R103" s="98">
        <f t="shared" si="9"/>
        <v>63.479</v>
      </c>
      <c r="S103" s="98">
        <f t="shared" si="10"/>
        <v>67.92253</v>
      </c>
      <c r="T103" s="58" t="s">
        <v>675</v>
      </c>
      <c r="U103" s="108">
        <v>3.0</v>
      </c>
      <c r="V103" s="109"/>
      <c r="W103" s="109"/>
      <c r="X103" s="95"/>
      <c r="Y103" s="95"/>
      <c r="Z103" s="95"/>
      <c r="AA103" s="95"/>
      <c r="AB103" s="95"/>
      <c r="AC103" s="95"/>
      <c r="AD103" s="95"/>
      <c r="AE103" s="95"/>
    </row>
    <row r="104">
      <c r="A104" s="26" t="s">
        <v>239</v>
      </c>
      <c r="B104" s="39" t="s">
        <v>610</v>
      </c>
      <c r="C104" s="26" t="s">
        <v>240</v>
      </c>
      <c r="D104" s="26" t="s">
        <v>240</v>
      </c>
      <c r="E104" s="105">
        <v>171.6</v>
      </c>
      <c r="F104" s="105">
        <v>5.0</v>
      </c>
      <c r="G104" s="105">
        <f t="shared" si="13"/>
        <v>858</v>
      </c>
      <c r="H104" s="105">
        <v>20.0</v>
      </c>
      <c r="I104" s="98">
        <f t="shared" si="2"/>
        <v>42.9</v>
      </c>
      <c r="J104" s="98">
        <f t="shared" si="3"/>
        <v>42.95</v>
      </c>
      <c r="K104" s="39"/>
      <c r="L104" s="98">
        <f t="shared" si="4"/>
        <v>45.903</v>
      </c>
      <c r="M104" s="105">
        <v>58.53</v>
      </c>
      <c r="N104" s="98">
        <f t="shared" si="5"/>
        <v>2.9265</v>
      </c>
      <c r="O104" s="98">
        <f t="shared" si="6"/>
        <v>48.8295</v>
      </c>
      <c r="P104" s="98">
        <f t="shared" si="7"/>
        <v>2.441475</v>
      </c>
      <c r="Q104" s="98">
        <f t="shared" si="14"/>
        <v>12.207375</v>
      </c>
      <c r="R104" s="98">
        <f t="shared" si="9"/>
        <v>63.47835</v>
      </c>
      <c r="S104" s="98">
        <f t="shared" si="10"/>
        <v>67.9218345</v>
      </c>
      <c r="T104" s="26" t="s">
        <v>675</v>
      </c>
      <c r="U104" s="105">
        <v>3.0</v>
      </c>
      <c r="V104" s="107"/>
      <c r="W104" s="107"/>
      <c r="X104" s="95"/>
      <c r="Y104" s="95"/>
      <c r="Z104" s="95"/>
      <c r="AA104" s="95"/>
      <c r="AB104" s="95"/>
      <c r="AC104" s="95"/>
      <c r="AD104" s="95"/>
      <c r="AE104" s="95"/>
    </row>
    <row r="105">
      <c r="A105" s="58" t="s">
        <v>241</v>
      </c>
      <c r="B105" s="39" t="s">
        <v>610</v>
      </c>
      <c r="C105" s="58" t="s">
        <v>242</v>
      </c>
      <c r="D105" s="58" t="s">
        <v>242</v>
      </c>
      <c r="E105" s="108">
        <v>85.8</v>
      </c>
      <c r="F105" s="108">
        <v>5.0</v>
      </c>
      <c r="G105" s="108">
        <f t="shared" si="13"/>
        <v>429</v>
      </c>
      <c r="H105" s="108">
        <v>10.0</v>
      </c>
      <c r="I105" s="98">
        <f t="shared" si="2"/>
        <v>42.9</v>
      </c>
      <c r="J105" s="98">
        <f t="shared" si="3"/>
        <v>42.95</v>
      </c>
      <c r="K105" s="39"/>
      <c r="L105" s="98">
        <f t="shared" si="4"/>
        <v>45.903</v>
      </c>
      <c r="M105" s="108">
        <v>29.27</v>
      </c>
      <c r="N105" s="98">
        <f t="shared" si="5"/>
        <v>2.927</v>
      </c>
      <c r="O105" s="98">
        <f t="shared" si="6"/>
        <v>48.83</v>
      </c>
      <c r="P105" s="98">
        <f t="shared" si="7"/>
        <v>2.4415</v>
      </c>
      <c r="Q105" s="98">
        <f t="shared" si="14"/>
        <v>12.2075</v>
      </c>
      <c r="R105" s="98">
        <f t="shared" si="9"/>
        <v>63.479</v>
      </c>
      <c r="S105" s="98">
        <f t="shared" si="10"/>
        <v>67.92253</v>
      </c>
      <c r="T105" s="58" t="s">
        <v>675</v>
      </c>
      <c r="U105" s="108">
        <v>3.0</v>
      </c>
      <c r="V105" s="109"/>
      <c r="W105" s="109"/>
      <c r="X105" s="95"/>
      <c r="Y105" s="95"/>
      <c r="Z105" s="95"/>
      <c r="AA105" s="95"/>
      <c r="AB105" s="95"/>
      <c r="AC105" s="95"/>
      <c r="AD105" s="95"/>
      <c r="AE105" s="95"/>
    </row>
    <row r="106">
      <c r="A106" s="26" t="s">
        <v>408</v>
      </c>
      <c r="B106" s="39" t="s">
        <v>610</v>
      </c>
      <c r="C106" s="26" t="s">
        <v>409</v>
      </c>
      <c r="D106" s="26" t="s">
        <v>409</v>
      </c>
      <c r="E106" s="105">
        <v>831.39</v>
      </c>
      <c r="F106" s="105">
        <v>5.0</v>
      </c>
      <c r="G106" s="105">
        <f t="shared" si="13"/>
        <v>4156.95</v>
      </c>
      <c r="H106" s="105">
        <v>3.0</v>
      </c>
      <c r="I106" s="98">
        <f t="shared" si="2"/>
        <v>1385.65</v>
      </c>
      <c r="J106" s="98">
        <f t="shared" si="3"/>
        <v>1385.7</v>
      </c>
      <c r="K106" s="39"/>
      <c r="L106" s="98">
        <f t="shared" si="4"/>
        <v>1482.6455</v>
      </c>
      <c r="M106" s="105">
        <v>98.21</v>
      </c>
      <c r="N106" s="98">
        <f t="shared" si="5"/>
        <v>32.73666667</v>
      </c>
      <c r="O106" s="98">
        <f t="shared" si="6"/>
        <v>1515.382167</v>
      </c>
      <c r="P106" s="98">
        <f t="shared" si="7"/>
        <v>75.76910833</v>
      </c>
      <c r="Q106" s="98">
        <f t="shared" si="14"/>
        <v>378.8455417</v>
      </c>
      <c r="R106" s="98">
        <f t="shared" si="9"/>
        <v>1969.996817</v>
      </c>
      <c r="S106" s="98">
        <f t="shared" si="10"/>
        <v>2107.896594</v>
      </c>
      <c r="T106" s="26" t="s">
        <v>676</v>
      </c>
      <c r="U106" s="105">
        <v>1.0</v>
      </c>
      <c r="V106" s="107"/>
      <c r="W106" s="107"/>
      <c r="X106" s="95"/>
      <c r="Y106" s="95"/>
      <c r="Z106" s="95"/>
      <c r="AA106" s="95"/>
      <c r="AB106" s="95"/>
      <c r="AC106" s="95"/>
      <c r="AD106" s="95"/>
      <c r="AE106" s="95"/>
    </row>
    <row r="107">
      <c r="A107" s="58" t="s">
        <v>346</v>
      </c>
      <c r="B107" s="39" t="s">
        <v>644</v>
      </c>
      <c r="C107" s="58" t="s">
        <v>347</v>
      </c>
      <c r="D107" s="58" t="s">
        <v>348</v>
      </c>
      <c r="E107" s="108">
        <v>160.0</v>
      </c>
      <c r="F107" s="108">
        <v>5.0</v>
      </c>
      <c r="G107" s="108">
        <f t="shared" si="13"/>
        <v>800</v>
      </c>
      <c r="H107" s="108">
        <v>500.0</v>
      </c>
      <c r="I107" s="98">
        <f t="shared" si="2"/>
        <v>1.6</v>
      </c>
      <c r="J107" s="98">
        <f t="shared" si="3"/>
        <v>1.65</v>
      </c>
      <c r="K107" s="39"/>
      <c r="L107" s="98">
        <f t="shared" si="4"/>
        <v>1.712</v>
      </c>
      <c r="M107" s="108">
        <v>367.05</v>
      </c>
      <c r="N107" s="98">
        <f t="shared" si="5"/>
        <v>0.7341</v>
      </c>
      <c r="O107" s="98">
        <f t="shared" si="6"/>
        <v>2.4461</v>
      </c>
      <c r="P107" s="98">
        <f t="shared" si="7"/>
        <v>0.122305</v>
      </c>
      <c r="Q107" s="98">
        <f t="shared" si="14"/>
        <v>0.611525</v>
      </c>
      <c r="R107" s="98">
        <f t="shared" si="9"/>
        <v>3.17993</v>
      </c>
      <c r="S107" s="98">
        <f t="shared" si="10"/>
        <v>3.4025251</v>
      </c>
      <c r="T107" s="58" t="s">
        <v>677</v>
      </c>
      <c r="U107" s="108">
        <v>1.0</v>
      </c>
      <c r="V107" s="109"/>
      <c r="W107" s="109"/>
      <c r="X107" s="95"/>
      <c r="Y107" s="95"/>
      <c r="Z107" s="95"/>
      <c r="AA107" s="95"/>
      <c r="AB107" s="95"/>
      <c r="AC107" s="95"/>
      <c r="AD107" s="95"/>
      <c r="AE107" s="95"/>
    </row>
    <row r="108">
      <c r="A108" s="26" t="s">
        <v>543</v>
      </c>
      <c r="B108" s="39" t="s">
        <v>661</v>
      </c>
      <c r="C108" s="26" t="s">
        <v>544</v>
      </c>
      <c r="D108" s="26" t="s">
        <v>545</v>
      </c>
      <c r="E108" s="105">
        <f>217.2+122.5</f>
        <v>339.7</v>
      </c>
      <c r="F108" s="105">
        <v>5.0</v>
      </c>
      <c r="G108" s="105">
        <f t="shared" si="13"/>
        <v>1698.5</v>
      </c>
      <c r="H108" s="105">
        <f>15000+7500</f>
        <v>22500</v>
      </c>
      <c r="I108" s="98">
        <f t="shared" si="2"/>
        <v>0.07548888889</v>
      </c>
      <c r="J108" s="98">
        <f t="shared" si="3"/>
        <v>0.1254888889</v>
      </c>
      <c r="K108" s="39"/>
      <c r="L108" s="98">
        <f t="shared" si="4"/>
        <v>0.08077311111</v>
      </c>
      <c r="M108" s="105">
        <v>213.6</v>
      </c>
      <c r="N108" s="98">
        <f t="shared" si="5"/>
        <v>0.009493333333</v>
      </c>
      <c r="O108" s="98">
        <f t="shared" si="6"/>
        <v>0.09026644444</v>
      </c>
      <c r="P108" s="98">
        <f t="shared" si="7"/>
        <v>0.004513322222</v>
      </c>
      <c r="Q108" s="98">
        <f t="shared" si="14"/>
        <v>0.02256661111</v>
      </c>
      <c r="R108" s="98">
        <f t="shared" si="9"/>
        <v>0.1173463778</v>
      </c>
      <c r="S108" s="98">
        <f t="shared" si="10"/>
        <v>0.1255606242</v>
      </c>
      <c r="T108" s="26" t="s">
        <v>678</v>
      </c>
      <c r="U108" s="105">
        <v>1.0</v>
      </c>
      <c r="V108" s="107"/>
      <c r="W108" s="107"/>
      <c r="X108" s="95"/>
      <c r="Y108" s="95"/>
      <c r="Z108" s="95"/>
      <c r="AA108" s="95"/>
      <c r="AB108" s="95"/>
      <c r="AC108" s="95"/>
      <c r="AD108" s="95"/>
      <c r="AE108" s="95"/>
    </row>
    <row r="109">
      <c r="A109" s="58" t="s">
        <v>546</v>
      </c>
      <c r="B109" s="39" t="s">
        <v>661</v>
      </c>
      <c r="C109" s="58" t="s">
        <v>547</v>
      </c>
      <c r="D109" s="58" t="s">
        <v>548</v>
      </c>
      <c r="E109" s="108">
        <v>159.95</v>
      </c>
      <c r="F109" s="108">
        <v>5.0</v>
      </c>
      <c r="G109" s="108">
        <f t="shared" si="13"/>
        <v>799.75</v>
      </c>
      <c r="H109" s="108">
        <v>3900.0</v>
      </c>
      <c r="I109" s="98">
        <f t="shared" si="2"/>
        <v>0.2050641026</v>
      </c>
      <c r="J109" s="98">
        <f t="shared" si="3"/>
        <v>0.2550641026</v>
      </c>
      <c r="K109" s="39"/>
      <c r="L109" s="98">
        <f t="shared" si="4"/>
        <v>0.2194185897</v>
      </c>
      <c r="M109" s="108">
        <v>55.53</v>
      </c>
      <c r="N109" s="98">
        <f t="shared" si="5"/>
        <v>0.01423846154</v>
      </c>
      <c r="O109" s="98">
        <f t="shared" si="6"/>
        <v>0.2336570513</v>
      </c>
      <c r="P109" s="98">
        <f t="shared" si="7"/>
        <v>0.01168285256</v>
      </c>
      <c r="Q109" s="98">
        <f t="shared" si="14"/>
        <v>0.05841426282</v>
      </c>
      <c r="R109" s="98">
        <f t="shared" si="9"/>
        <v>0.3037541667</v>
      </c>
      <c r="S109" s="98">
        <f t="shared" si="10"/>
        <v>0.3250169583</v>
      </c>
      <c r="T109" s="58" t="s">
        <v>679</v>
      </c>
      <c r="U109" s="108">
        <v>1.0</v>
      </c>
      <c r="V109" s="109"/>
      <c r="W109" s="109"/>
      <c r="X109" s="95"/>
      <c r="Y109" s="95"/>
      <c r="Z109" s="95"/>
      <c r="AA109" s="95"/>
      <c r="AB109" s="95"/>
      <c r="AC109" s="95"/>
      <c r="AD109" s="95"/>
      <c r="AE109" s="95"/>
    </row>
    <row r="110">
      <c r="A110" s="26" t="s">
        <v>549</v>
      </c>
      <c r="B110" s="39" t="s">
        <v>644</v>
      </c>
      <c r="C110" s="26" t="s">
        <v>550</v>
      </c>
      <c r="D110" s="26" t="s">
        <v>551</v>
      </c>
      <c r="E110" s="105">
        <v>435.0</v>
      </c>
      <c r="F110" s="105">
        <v>5.0</v>
      </c>
      <c r="G110" s="105">
        <f t="shared" si="13"/>
        <v>2175</v>
      </c>
      <c r="H110" s="105">
        <v>17000.0</v>
      </c>
      <c r="I110" s="98">
        <f t="shared" si="2"/>
        <v>0.1279411765</v>
      </c>
      <c r="J110" s="98">
        <f t="shared" si="3"/>
        <v>0.1779411765</v>
      </c>
      <c r="K110" s="39"/>
      <c r="L110" s="98">
        <f t="shared" si="4"/>
        <v>0.1368970588</v>
      </c>
      <c r="M110" s="105">
        <v>242.08</v>
      </c>
      <c r="N110" s="98">
        <f t="shared" si="5"/>
        <v>0.01424</v>
      </c>
      <c r="O110" s="98">
        <f t="shared" si="6"/>
        <v>0.1511370588</v>
      </c>
      <c r="P110" s="98">
        <f t="shared" si="7"/>
        <v>0.007556852941</v>
      </c>
      <c r="Q110" s="98">
        <f t="shared" si="14"/>
        <v>0.03778426471</v>
      </c>
      <c r="R110" s="98">
        <f t="shared" si="9"/>
        <v>0.1964781765</v>
      </c>
      <c r="S110" s="98">
        <f t="shared" si="10"/>
        <v>0.2102316488</v>
      </c>
      <c r="T110" s="26" t="s">
        <v>679</v>
      </c>
      <c r="U110" s="105">
        <v>1.0</v>
      </c>
      <c r="V110" s="107"/>
      <c r="W110" s="107"/>
      <c r="X110" s="95"/>
      <c r="Y110" s="95"/>
      <c r="Z110" s="95"/>
      <c r="AA110" s="95"/>
      <c r="AB110" s="95"/>
      <c r="AC110" s="95"/>
      <c r="AD110" s="95"/>
      <c r="AE110" s="95"/>
    </row>
    <row r="111">
      <c r="A111" s="58" t="s">
        <v>552</v>
      </c>
      <c r="B111" s="39" t="s">
        <v>628</v>
      </c>
      <c r="C111" s="58" t="s">
        <v>553</v>
      </c>
      <c r="D111" s="51" t="s">
        <v>553</v>
      </c>
      <c r="E111" s="108">
        <v>1158.0</v>
      </c>
      <c r="F111" s="108">
        <v>5.0</v>
      </c>
      <c r="G111" s="108">
        <f t="shared" si="13"/>
        <v>5790</v>
      </c>
      <c r="H111" s="108">
        <v>95000.0</v>
      </c>
      <c r="I111" s="98">
        <f t="shared" si="2"/>
        <v>0.06094736842</v>
      </c>
      <c r="J111" s="98">
        <f t="shared" si="3"/>
        <v>0.1109473684</v>
      </c>
      <c r="K111" s="39"/>
      <c r="L111" s="98">
        <f t="shared" si="4"/>
        <v>0.06521368421</v>
      </c>
      <c r="M111" s="108">
        <f>270.56+557.76</f>
        <v>828.32</v>
      </c>
      <c r="N111" s="98">
        <f t="shared" si="5"/>
        <v>0.008719157895</v>
      </c>
      <c r="O111" s="98">
        <f t="shared" si="6"/>
        <v>0.07393284211</v>
      </c>
      <c r="P111" s="98">
        <f t="shared" si="7"/>
        <v>0.003696642105</v>
      </c>
      <c r="Q111" s="98">
        <f t="shared" si="14"/>
        <v>0.01848321053</v>
      </c>
      <c r="R111" s="98">
        <f t="shared" si="9"/>
        <v>0.09611269474</v>
      </c>
      <c r="S111" s="98">
        <f t="shared" si="10"/>
        <v>0.1028405834</v>
      </c>
      <c r="T111" s="58" t="s">
        <v>679</v>
      </c>
      <c r="U111" s="108">
        <v>1.0</v>
      </c>
      <c r="V111" s="109"/>
      <c r="W111" s="109"/>
      <c r="X111" s="95"/>
      <c r="Y111" s="95" t="s">
        <v>680</v>
      </c>
      <c r="Z111" s="95"/>
      <c r="AA111" s="95"/>
      <c r="AB111" s="95"/>
      <c r="AC111" s="95"/>
      <c r="AD111" s="95"/>
      <c r="AE111" s="95"/>
    </row>
    <row r="112">
      <c r="A112" s="26" t="s">
        <v>196</v>
      </c>
      <c r="B112" s="39" t="s">
        <v>610</v>
      </c>
      <c r="C112" s="26" t="s">
        <v>197</v>
      </c>
      <c r="D112" s="26" t="s">
        <v>197</v>
      </c>
      <c r="E112" s="26"/>
      <c r="F112" s="26"/>
      <c r="G112" s="105">
        <f t="shared" si="13"/>
        <v>0</v>
      </c>
      <c r="H112" s="105">
        <v>200.0</v>
      </c>
      <c r="I112" s="98">
        <f t="shared" si="2"/>
        <v>0</v>
      </c>
      <c r="J112" s="98">
        <f t="shared" si="3"/>
        <v>0.05</v>
      </c>
      <c r="K112" s="39"/>
      <c r="L112" s="98">
        <f t="shared" si="4"/>
        <v>0</v>
      </c>
      <c r="M112" s="105">
        <v>0.0</v>
      </c>
      <c r="N112" s="98">
        <f t="shared" si="5"/>
        <v>0</v>
      </c>
      <c r="O112" s="98">
        <f t="shared" si="6"/>
        <v>0</v>
      </c>
      <c r="P112" s="98">
        <f t="shared" si="7"/>
        <v>0</v>
      </c>
      <c r="Q112" s="98">
        <f t="shared" si="14"/>
        <v>0</v>
      </c>
      <c r="R112" s="98">
        <f t="shared" si="9"/>
        <v>0</v>
      </c>
      <c r="S112" s="98">
        <f t="shared" si="10"/>
        <v>0</v>
      </c>
      <c r="T112" s="100" t="s">
        <v>611</v>
      </c>
      <c r="U112" s="105">
        <v>1.0</v>
      </c>
      <c r="V112" s="107"/>
      <c r="W112" s="107"/>
      <c r="X112" s="95"/>
      <c r="Y112" s="95"/>
      <c r="Z112" s="95"/>
      <c r="AA112" s="95"/>
      <c r="AB112" s="95"/>
      <c r="AC112" s="95"/>
      <c r="AD112" s="95"/>
      <c r="AE112" s="95"/>
    </row>
    <row r="113">
      <c r="A113" s="58" t="s">
        <v>200</v>
      </c>
      <c r="B113" s="39" t="s">
        <v>610</v>
      </c>
      <c r="C113" s="58" t="s">
        <v>201</v>
      </c>
      <c r="D113" s="58" t="s">
        <v>201</v>
      </c>
      <c r="E113" s="58"/>
      <c r="F113" s="58"/>
      <c r="G113" s="108">
        <f t="shared" si="13"/>
        <v>0</v>
      </c>
      <c r="H113" s="108">
        <v>200.0</v>
      </c>
      <c r="I113" s="98">
        <f t="shared" si="2"/>
        <v>0</v>
      </c>
      <c r="J113" s="98">
        <f t="shared" si="3"/>
        <v>0.05</v>
      </c>
      <c r="K113" s="39"/>
      <c r="L113" s="98">
        <f t="shared" si="4"/>
        <v>0</v>
      </c>
      <c r="M113" s="108">
        <v>0.0</v>
      </c>
      <c r="N113" s="98">
        <f t="shared" si="5"/>
        <v>0</v>
      </c>
      <c r="O113" s="98">
        <f t="shared" si="6"/>
        <v>0</v>
      </c>
      <c r="P113" s="98">
        <f t="shared" si="7"/>
        <v>0</v>
      </c>
      <c r="Q113" s="98">
        <f t="shared" si="14"/>
        <v>0</v>
      </c>
      <c r="R113" s="98">
        <f t="shared" si="9"/>
        <v>0</v>
      </c>
      <c r="S113" s="98">
        <f t="shared" si="10"/>
        <v>0</v>
      </c>
      <c r="T113" s="100" t="s">
        <v>611</v>
      </c>
      <c r="U113" s="108">
        <v>1.0</v>
      </c>
      <c r="V113" s="109"/>
      <c r="W113" s="109"/>
      <c r="X113" s="95"/>
      <c r="Y113" s="95"/>
      <c r="Z113" s="95"/>
      <c r="AA113" s="95"/>
      <c r="AB113" s="95"/>
      <c r="AC113" s="95"/>
      <c r="AD113" s="95"/>
      <c r="AE113" s="95"/>
    </row>
    <row r="114">
      <c r="A114" s="26" t="s">
        <v>191</v>
      </c>
      <c r="B114" s="39" t="s">
        <v>610</v>
      </c>
      <c r="C114" s="26" t="s">
        <v>192</v>
      </c>
      <c r="D114" s="26" t="s">
        <v>192</v>
      </c>
      <c r="E114" s="105">
        <v>347.5</v>
      </c>
      <c r="F114" s="105">
        <v>5.0</v>
      </c>
      <c r="G114" s="105">
        <f t="shared" si="13"/>
        <v>1737.5</v>
      </c>
      <c r="H114" s="105">
        <v>5.0</v>
      </c>
      <c r="I114" s="98">
        <f t="shared" si="2"/>
        <v>347.5</v>
      </c>
      <c r="J114" s="98">
        <f t="shared" si="3"/>
        <v>347.55</v>
      </c>
      <c r="K114" s="39"/>
      <c r="L114" s="98">
        <f t="shared" si="4"/>
        <v>371.825</v>
      </c>
      <c r="M114" s="105">
        <v>72.0</v>
      </c>
      <c r="N114" s="98">
        <f t="shared" si="5"/>
        <v>14.4</v>
      </c>
      <c r="O114" s="98">
        <f t="shared" si="6"/>
        <v>386.225</v>
      </c>
      <c r="P114" s="98">
        <f t="shared" si="7"/>
        <v>19.31125</v>
      </c>
      <c r="Q114" s="98">
        <f t="shared" si="14"/>
        <v>96.55625</v>
      </c>
      <c r="R114" s="98">
        <f t="shared" si="9"/>
        <v>502.0925</v>
      </c>
      <c r="S114" s="98">
        <f t="shared" si="10"/>
        <v>537.238975</v>
      </c>
      <c r="T114" s="26" t="s">
        <v>681</v>
      </c>
      <c r="U114" s="105">
        <v>1.0</v>
      </c>
      <c r="V114" s="107"/>
      <c r="W114" s="107"/>
      <c r="X114" s="95"/>
      <c r="Y114" s="95"/>
      <c r="Z114" s="95"/>
      <c r="AA114" s="95"/>
      <c r="AB114" s="95"/>
      <c r="AC114" s="95"/>
      <c r="AD114" s="95"/>
      <c r="AE114" s="95"/>
    </row>
    <row r="115">
      <c r="A115" s="58" t="s">
        <v>257</v>
      </c>
      <c r="B115" s="39" t="s">
        <v>613</v>
      </c>
      <c r="C115" s="58" t="s">
        <v>258</v>
      </c>
      <c r="D115" s="58" t="s">
        <v>258</v>
      </c>
      <c r="E115" s="108">
        <v>65.9</v>
      </c>
      <c r="F115" s="108">
        <v>5.0</v>
      </c>
      <c r="G115" s="108">
        <f t="shared" si="13"/>
        <v>329.5</v>
      </c>
      <c r="H115" s="108">
        <v>1000.0</v>
      </c>
      <c r="I115" s="98">
        <f t="shared" si="2"/>
        <v>0.3295</v>
      </c>
      <c r="J115" s="98">
        <f t="shared" si="3"/>
        <v>0.3795</v>
      </c>
      <c r="K115" s="39"/>
      <c r="L115" s="98">
        <f t="shared" si="4"/>
        <v>0.352565</v>
      </c>
      <c r="M115" s="108">
        <v>108.0</v>
      </c>
      <c r="N115" s="98">
        <f t="shared" si="5"/>
        <v>0.108</v>
      </c>
      <c r="O115" s="98">
        <f t="shared" si="6"/>
        <v>0.460565</v>
      </c>
      <c r="P115" s="98">
        <f t="shared" si="7"/>
        <v>0.02302825</v>
      </c>
      <c r="Q115" s="98">
        <f t="shared" si="14"/>
        <v>0.11514125</v>
      </c>
      <c r="R115" s="98">
        <f t="shared" si="9"/>
        <v>0.5987345</v>
      </c>
      <c r="S115" s="98">
        <f t="shared" si="10"/>
        <v>0.640645915</v>
      </c>
      <c r="T115" s="58" t="s">
        <v>682</v>
      </c>
      <c r="U115" s="108">
        <v>1.0</v>
      </c>
      <c r="V115" s="109"/>
      <c r="W115" s="109"/>
      <c r="X115" s="95"/>
      <c r="Y115" s="95"/>
      <c r="Z115" s="95"/>
      <c r="AA115" s="95"/>
      <c r="AB115" s="95"/>
      <c r="AC115" s="95"/>
      <c r="AD115" s="95"/>
      <c r="AE115" s="95"/>
    </row>
    <row r="116">
      <c r="A116" s="26" t="s">
        <v>259</v>
      </c>
      <c r="B116" s="39" t="s">
        <v>613</v>
      </c>
      <c r="C116" s="26" t="s">
        <v>260</v>
      </c>
      <c r="D116" s="26" t="s">
        <v>260</v>
      </c>
      <c r="E116" s="105">
        <v>73.9</v>
      </c>
      <c r="F116" s="105">
        <v>5.0</v>
      </c>
      <c r="G116" s="105">
        <f t="shared" si="13"/>
        <v>369.5</v>
      </c>
      <c r="H116" s="105">
        <v>1000.0</v>
      </c>
      <c r="I116" s="98">
        <f t="shared" si="2"/>
        <v>0.3695</v>
      </c>
      <c r="J116" s="98">
        <f t="shared" si="3"/>
        <v>0.4195</v>
      </c>
      <c r="K116" s="39"/>
      <c r="L116" s="98">
        <f t="shared" si="4"/>
        <v>0.395365</v>
      </c>
      <c r="M116" s="105">
        <v>151.2</v>
      </c>
      <c r="N116" s="98">
        <f t="shared" si="5"/>
        <v>0.1512</v>
      </c>
      <c r="O116" s="98">
        <f t="shared" si="6"/>
        <v>0.546565</v>
      </c>
      <c r="P116" s="98">
        <f t="shared" si="7"/>
        <v>0.02732825</v>
      </c>
      <c r="Q116" s="98">
        <f t="shared" si="14"/>
        <v>0.13664125</v>
      </c>
      <c r="R116" s="98">
        <f t="shared" si="9"/>
        <v>0.7105345</v>
      </c>
      <c r="S116" s="98">
        <f t="shared" si="10"/>
        <v>0.760271915</v>
      </c>
      <c r="T116" s="26" t="s">
        <v>682</v>
      </c>
      <c r="U116" s="105">
        <v>1.0</v>
      </c>
      <c r="V116" s="107"/>
      <c r="W116" s="107"/>
      <c r="X116" s="95"/>
      <c r="Y116" s="95"/>
      <c r="Z116" s="95"/>
      <c r="AA116" s="95"/>
      <c r="AB116" s="95"/>
      <c r="AC116" s="95"/>
      <c r="AD116" s="95"/>
      <c r="AE116" s="95"/>
    </row>
    <row r="117">
      <c r="A117" s="58" t="s">
        <v>554</v>
      </c>
      <c r="B117" s="39" t="s">
        <v>613</v>
      </c>
      <c r="C117" s="58" t="s">
        <v>555</v>
      </c>
      <c r="D117" s="58" t="s">
        <v>556</v>
      </c>
      <c r="E117" s="108">
        <v>228.0</v>
      </c>
      <c r="F117" s="108">
        <v>5.0</v>
      </c>
      <c r="G117" s="108">
        <f t="shared" si="13"/>
        <v>1140</v>
      </c>
      <c r="H117" s="108">
        <v>18000.0</v>
      </c>
      <c r="I117" s="98">
        <f t="shared" si="2"/>
        <v>0.06333333333</v>
      </c>
      <c r="J117" s="98">
        <f t="shared" si="3"/>
        <v>0.1133333333</v>
      </c>
      <c r="K117" s="39"/>
      <c r="L117" s="98">
        <f t="shared" si="4"/>
        <v>0.06776666667</v>
      </c>
      <c r="M117" s="108">
        <v>155.33</v>
      </c>
      <c r="N117" s="98">
        <f t="shared" si="5"/>
        <v>0.008629444444</v>
      </c>
      <c r="O117" s="98">
        <f t="shared" si="6"/>
        <v>0.07639611111</v>
      </c>
      <c r="P117" s="98">
        <f t="shared" si="7"/>
        <v>0.003819805556</v>
      </c>
      <c r="Q117" s="98">
        <f t="shared" si="14"/>
        <v>0.01909902778</v>
      </c>
      <c r="R117" s="98">
        <f t="shared" si="9"/>
        <v>0.09931494444</v>
      </c>
      <c r="S117" s="98">
        <f t="shared" si="10"/>
        <v>0.1062669906</v>
      </c>
      <c r="T117" s="58" t="s">
        <v>683</v>
      </c>
      <c r="U117" s="108">
        <v>1.0</v>
      </c>
      <c r="V117" s="109"/>
      <c r="W117" s="109"/>
      <c r="X117" s="95"/>
      <c r="Y117" s="95"/>
      <c r="Z117" s="95"/>
      <c r="AA117" s="95"/>
      <c r="AB117" s="95"/>
      <c r="AC117" s="95"/>
      <c r="AD117" s="95"/>
      <c r="AE117" s="95"/>
    </row>
    <row r="118">
      <c r="A118" s="26" t="s">
        <v>317</v>
      </c>
      <c r="B118" s="39" t="s">
        <v>610</v>
      </c>
      <c r="C118" s="26" t="s">
        <v>684</v>
      </c>
      <c r="D118" s="61" t="s">
        <v>318</v>
      </c>
      <c r="E118" s="105">
        <v>33.6</v>
      </c>
      <c r="F118" s="105">
        <v>5.0</v>
      </c>
      <c r="G118" s="105">
        <f t="shared" si="13"/>
        <v>168</v>
      </c>
      <c r="H118" s="105">
        <v>10.0</v>
      </c>
      <c r="I118" s="98">
        <f t="shared" si="2"/>
        <v>16.8</v>
      </c>
      <c r="J118" s="98">
        <f t="shared" si="3"/>
        <v>16.85</v>
      </c>
      <c r="K118" s="39"/>
      <c r="L118" s="98">
        <f t="shared" si="4"/>
        <v>17.976</v>
      </c>
      <c r="M118" s="105">
        <v>20.0</v>
      </c>
      <c r="N118" s="98">
        <f t="shared" si="5"/>
        <v>2</v>
      </c>
      <c r="O118" s="98">
        <f t="shared" si="6"/>
        <v>19.976</v>
      </c>
      <c r="P118" s="98">
        <f t="shared" si="7"/>
        <v>0.9988</v>
      </c>
      <c r="Q118" s="98">
        <f t="shared" si="14"/>
        <v>4.994</v>
      </c>
      <c r="R118" s="98">
        <f t="shared" si="9"/>
        <v>25.9688</v>
      </c>
      <c r="S118" s="98">
        <f t="shared" si="10"/>
        <v>27.786616</v>
      </c>
      <c r="T118" s="26" t="s">
        <v>685</v>
      </c>
      <c r="U118" s="105">
        <v>1.0</v>
      </c>
      <c r="V118" s="107"/>
      <c r="W118" s="107"/>
      <c r="X118" s="95"/>
      <c r="Y118" s="95"/>
      <c r="Z118" s="95"/>
      <c r="AA118" s="95"/>
      <c r="AB118" s="95"/>
      <c r="AC118" s="95"/>
      <c r="AD118" s="95"/>
      <c r="AE118" s="95"/>
    </row>
    <row r="119">
      <c r="A119" s="58" t="s">
        <v>686</v>
      </c>
      <c r="B119" s="39" t="s">
        <v>610</v>
      </c>
      <c r="C119" s="58" t="s">
        <v>687</v>
      </c>
      <c r="D119" s="58" t="s">
        <v>687</v>
      </c>
      <c r="E119" s="108">
        <v>208.0</v>
      </c>
      <c r="F119" s="108">
        <v>5.0</v>
      </c>
      <c r="G119" s="108">
        <f t="shared" si="13"/>
        <v>1040</v>
      </c>
      <c r="H119" s="108">
        <v>80.0</v>
      </c>
      <c r="I119" s="98">
        <f t="shared" si="2"/>
        <v>13</v>
      </c>
      <c r="J119" s="98">
        <f t="shared" si="3"/>
        <v>13.05</v>
      </c>
      <c r="K119" s="39"/>
      <c r="L119" s="98">
        <f t="shared" si="4"/>
        <v>13.91</v>
      </c>
      <c r="M119" s="108">
        <v>0.0</v>
      </c>
      <c r="N119" s="98">
        <f t="shared" si="5"/>
        <v>0</v>
      </c>
      <c r="O119" s="98">
        <f t="shared" si="6"/>
        <v>13.91</v>
      </c>
      <c r="P119" s="98">
        <f t="shared" si="7"/>
        <v>0.6955</v>
      </c>
      <c r="Q119" s="98">
        <f t="shared" si="14"/>
        <v>3.4775</v>
      </c>
      <c r="R119" s="98">
        <f t="shared" si="9"/>
        <v>18.083</v>
      </c>
      <c r="S119" s="98">
        <f t="shared" si="10"/>
        <v>19.34881</v>
      </c>
      <c r="T119" s="58" t="s">
        <v>688</v>
      </c>
      <c r="U119" s="108">
        <v>1.0</v>
      </c>
      <c r="V119" s="109"/>
      <c r="W119" s="109"/>
      <c r="X119" s="95"/>
      <c r="Y119" s="95"/>
      <c r="Z119" s="95"/>
      <c r="AA119" s="95"/>
      <c r="AB119" s="95"/>
      <c r="AC119" s="95"/>
      <c r="AD119" s="95"/>
      <c r="AE119" s="95"/>
    </row>
    <row r="120">
      <c r="A120" s="26" t="s">
        <v>557</v>
      </c>
      <c r="B120" s="39" t="s">
        <v>661</v>
      </c>
      <c r="C120" s="26" t="s">
        <v>558</v>
      </c>
      <c r="D120" s="26" t="s">
        <v>558</v>
      </c>
      <c r="E120" s="105">
        <v>235.0</v>
      </c>
      <c r="F120" s="105">
        <v>5.0</v>
      </c>
      <c r="G120" s="105">
        <f t="shared" si="13"/>
        <v>1175</v>
      </c>
      <c r="H120" s="105">
        <v>573.0</v>
      </c>
      <c r="I120" s="98">
        <f t="shared" si="2"/>
        <v>2.05061082</v>
      </c>
      <c r="J120" s="98">
        <f t="shared" si="3"/>
        <v>2.10061082</v>
      </c>
      <c r="K120" s="39"/>
      <c r="L120" s="98">
        <f t="shared" si="4"/>
        <v>2.194153578</v>
      </c>
      <c r="M120" s="105">
        <v>25.23</v>
      </c>
      <c r="N120" s="98">
        <f t="shared" si="5"/>
        <v>0.04403141361</v>
      </c>
      <c r="O120" s="98">
        <f t="shared" si="6"/>
        <v>2.238184991</v>
      </c>
      <c r="P120" s="98">
        <f t="shared" si="7"/>
        <v>0.1119092496</v>
      </c>
      <c r="Q120" s="98">
        <f t="shared" si="14"/>
        <v>0.5595462478</v>
      </c>
      <c r="R120" s="98">
        <f t="shared" si="9"/>
        <v>2.909640489</v>
      </c>
      <c r="S120" s="98">
        <f t="shared" si="10"/>
        <v>3.113315323</v>
      </c>
      <c r="T120" s="26" t="s">
        <v>689</v>
      </c>
      <c r="U120" s="26"/>
      <c r="V120" s="107"/>
      <c r="W120" s="107"/>
      <c r="X120" s="95"/>
      <c r="Y120" s="95"/>
      <c r="Z120" s="95"/>
      <c r="AA120" s="95"/>
      <c r="AB120" s="95"/>
      <c r="AC120" s="95"/>
      <c r="AD120" s="95"/>
      <c r="AE120" s="95"/>
    </row>
    <row r="121">
      <c r="A121" s="58" t="s">
        <v>559</v>
      </c>
      <c r="B121" s="39" t="s">
        <v>661</v>
      </c>
      <c r="C121" s="58" t="s">
        <v>560</v>
      </c>
      <c r="D121" s="58" t="s">
        <v>561</v>
      </c>
      <c r="E121" s="108">
        <v>29.9</v>
      </c>
      <c r="F121" s="108">
        <v>5.0</v>
      </c>
      <c r="G121" s="108">
        <f t="shared" si="13"/>
        <v>149.5</v>
      </c>
      <c r="H121" s="108">
        <v>100.0</v>
      </c>
      <c r="I121" s="98">
        <f t="shared" si="2"/>
        <v>1.495</v>
      </c>
      <c r="J121" s="98">
        <f t="shared" si="3"/>
        <v>1.545</v>
      </c>
      <c r="K121" s="39"/>
      <c r="L121" s="98">
        <f t="shared" si="4"/>
        <v>1.59965</v>
      </c>
      <c r="M121" s="108">
        <v>0.0</v>
      </c>
      <c r="N121" s="98">
        <f t="shared" si="5"/>
        <v>0</v>
      </c>
      <c r="O121" s="98">
        <f t="shared" si="6"/>
        <v>1.59965</v>
      </c>
      <c r="P121" s="98">
        <f t="shared" si="7"/>
        <v>0.0799825</v>
      </c>
      <c r="Q121" s="98">
        <f t="shared" si="14"/>
        <v>0.3999125</v>
      </c>
      <c r="R121" s="98">
        <f t="shared" si="9"/>
        <v>2.079545</v>
      </c>
      <c r="S121" s="98">
        <f t="shared" si="10"/>
        <v>2.22511315</v>
      </c>
      <c r="T121" s="58" t="s">
        <v>689</v>
      </c>
      <c r="U121" s="58"/>
      <c r="V121" s="109"/>
      <c r="W121" s="109"/>
      <c r="X121" s="95"/>
      <c r="Y121" s="95"/>
      <c r="Z121" s="95"/>
      <c r="AA121" s="95"/>
      <c r="AB121" s="95"/>
      <c r="AC121" s="95"/>
      <c r="AD121" s="95"/>
      <c r="AE121" s="95"/>
    </row>
    <row r="122">
      <c r="A122" s="26" t="s">
        <v>562</v>
      </c>
      <c r="B122" s="39" t="s">
        <v>661</v>
      </c>
      <c r="C122" s="26" t="s">
        <v>563</v>
      </c>
      <c r="D122" s="61" t="s">
        <v>563</v>
      </c>
      <c r="E122" s="105">
        <v>299.0</v>
      </c>
      <c r="F122" s="105">
        <v>5.0</v>
      </c>
      <c r="G122" s="105">
        <f t="shared" si="13"/>
        <v>1495</v>
      </c>
      <c r="H122" s="105">
        <v>20000.0</v>
      </c>
      <c r="I122" s="98">
        <f t="shared" si="2"/>
        <v>0.07475</v>
      </c>
      <c r="J122" s="98">
        <f t="shared" si="3"/>
        <v>0.12475</v>
      </c>
      <c r="K122" s="39"/>
      <c r="L122" s="98">
        <f t="shared" si="4"/>
        <v>0.0799825</v>
      </c>
      <c r="M122" s="105">
        <v>387.13</v>
      </c>
      <c r="N122" s="98">
        <f t="shared" si="5"/>
        <v>0.0193565</v>
      </c>
      <c r="O122" s="98">
        <f t="shared" si="6"/>
        <v>0.099339</v>
      </c>
      <c r="P122" s="98">
        <f t="shared" si="7"/>
        <v>0.00496695</v>
      </c>
      <c r="Q122" s="98">
        <f t="shared" si="14"/>
        <v>0.02483475</v>
      </c>
      <c r="R122" s="98">
        <f t="shared" si="9"/>
        <v>0.1291407</v>
      </c>
      <c r="S122" s="98">
        <f t="shared" si="10"/>
        <v>0.138180549</v>
      </c>
      <c r="T122" s="26"/>
      <c r="U122" s="26"/>
      <c r="V122" s="107"/>
      <c r="W122" s="107"/>
      <c r="X122" s="95"/>
      <c r="Y122" s="95"/>
      <c r="Z122" s="95"/>
      <c r="AA122" s="95"/>
      <c r="AB122" s="95"/>
      <c r="AC122" s="95"/>
      <c r="AD122" s="95"/>
      <c r="AE122" s="95"/>
    </row>
    <row r="123">
      <c r="A123" s="26" t="s">
        <v>564</v>
      </c>
      <c r="B123" s="39" t="s">
        <v>661</v>
      </c>
      <c r="C123" s="26" t="s">
        <v>565</v>
      </c>
      <c r="D123" s="26" t="s">
        <v>566</v>
      </c>
      <c r="E123" s="105">
        <v>44.99</v>
      </c>
      <c r="F123" s="105">
        <v>5.0</v>
      </c>
      <c r="G123" s="105">
        <f t="shared" si="13"/>
        <v>224.95</v>
      </c>
      <c r="H123" s="105">
        <v>1000.0</v>
      </c>
      <c r="I123" s="98">
        <f t="shared" si="2"/>
        <v>0.22495</v>
      </c>
      <c r="J123" s="98">
        <f t="shared" si="3"/>
        <v>0.27495</v>
      </c>
      <c r="K123" s="39"/>
      <c r="L123" s="98">
        <f t="shared" si="4"/>
        <v>0.2406965</v>
      </c>
      <c r="M123" s="105">
        <v>100.0</v>
      </c>
      <c r="N123" s="98">
        <f t="shared" si="5"/>
        <v>0.1</v>
      </c>
      <c r="O123" s="98">
        <f t="shared" si="6"/>
        <v>0.3406965</v>
      </c>
      <c r="P123" s="98">
        <f t="shared" si="7"/>
        <v>0.017034825</v>
      </c>
      <c r="Q123" s="98">
        <f t="shared" si="14"/>
        <v>0.085174125</v>
      </c>
      <c r="R123" s="98">
        <f t="shared" si="9"/>
        <v>0.44290545</v>
      </c>
      <c r="S123" s="98">
        <f t="shared" si="10"/>
        <v>0.4739088315</v>
      </c>
      <c r="T123" s="26" t="s">
        <v>689</v>
      </c>
      <c r="U123" s="26"/>
      <c r="V123" s="109"/>
      <c r="W123" s="109"/>
      <c r="X123" s="95"/>
      <c r="Y123" s="95"/>
      <c r="Z123" s="95"/>
      <c r="AA123" s="95"/>
      <c r="AB123" s="95"/>
      <c r="AC123" s="95"/>
      <c r="AD123" s="95"/>
      <c r="AE123" s="95"/>
    </row>
    <row r="124">
      <c r="A124" s="26" t="s">
        <v>399</v>
      </c>
      <c r="B124" s="39" t="s">
        <v>610</v>
      </c>
      <c r="C124" s="26" t="s">
        <v>400</v>
      </c>
      <c r="D124" s="26" t="s">
        <v>400</v>
      </c>
      <c r="E124" s="105">
        <v>321.0</v>
      </c>
      <c r="F124" s="105">
        <v>5.0</v>
      </c>
      <c r="G124" s="105">
        <f t="shared" si="13"/>
        <v>1605</v>
      </c>
      <c r="H124" s="105">
        <v>1.0</v>
      </c>
      <c r="I124" s="98">
        <f t="shared" si="2"/>
        <v>1605</v>
      </c>
      <c r="J124" s="98">
        <f t="shared" si="3"/>
        <v>1605.05</v>
      </c>
      <c r="K124" s="39"/>
      <c r="L124" s="98">
        <f t="shared" si="4"/>
        <v>1717.35</v>
      </c>
      <c r="M124" s="105">
        <v>69.05</v>
      </c>
      <c r="N124" s="98">
        <f t="shared" si="5"/>
        <v>69.05</v>
      </c>
      <c r="O124" s="98">
        <f t="shared" si="6"/>
        <v>1786.4</v>
      </c>
      <c r="P124" s="98">
        <f t="shared" si="7"/>
        <v>89.32</v>
      </c>
      <c r="Q124" s="98">
        <f t="shared" si="14"/>
        <v>446.6</v>
      </c>
      <c r="R124" s="98">
        <f t="shared" si="9"/>
        <v>2322.32</v>
      </c>
      <c r="S124" s="98">
        <f t="shared" si="10"/>
        <v>2484.8824</v>
      </c>
      <c r="T124" s="26" t="s">
        <v>690</v>
      </c>
      <c r="U124" s="105">
        <v>1.0</v>
      </c>
      <c r="V124" s="107"/>
      <c r="W124" s="107"/>
      <c r="X124" s="95"/>
      <c r="Y124" s="95"/>
      <c r="Z124" s="95"/>
      <c r="AA124" s="95"/>
      <c r="AB124" s="95"/>
      <c r="AC124" s="95"/>
      <c r="AD124" s="95"/>
      <c r="AE124" s="95"/>
    </row>
    <row r="125">
      <c r="A125" s="26" t="s">
        <v>401</v>
      </c>
      <c r="B125" s="39" t="s">
        <v>610</v>
      </c>
      <c r="C125" s="26" t="s">
        <v>402</v>
      </c>
      <c r="D125" s="26" t="s">
        <v>402</v>
      </c>
      <c r="E125" s="105">
        <v>350.0</v>
      </c>
      <c r="F125" s="105">
        <v>5.0</v>
      </c>
      <c r="G125" s="105">
        <f t="shared" si="13"/>
        <v>1750</v>
      </c>
      <c r="H125" s="105">
        <v>1.0</v>
      </c>
      <c r="I125" s="98">
        <f t="shared" si="2"/>
        <v>1750</v>
      </c>
      <c r="J125" s="98">
        <f t="shared" si="3"/>
        <v>1750.05</v>
      </c>
      <c r="K125" s="39"/>
      <c r="L125" s="98">
        <f t="shared" si="4"/>
        <v>1872.5</v>
      </c>
      <c r="M125" s="105">
        <v>69.05</v>
      </c>
      <c r="N125" s="98">
        <f t="shared" si="5"/>
        <v>69.05</v>
      </c>
      <c r="O125" s="98">
        <f t="shared" si="6"/>
        <v>1941.55</v>
      </c>
      <c r="P125" s="98">
        <f t="shared" si="7"/>
        <v>97.0775</v>
      </c>
      <c r="Q125" s="98">
        <f t="shared" si="14"/>
        <v>485.3875</v>
      </c>
      <c r="R125" s="98">
        <f t="shared" si="9"/>
        <v>2524.015</v>
      </c>
      <c r="S125" s="98">
        <f t="shared" si="10"/>
        <v>2700.69605</v>
      </c>
      <c r="T125" s="26" t="s">
        <v>690</v>
      </c>
      <c r="U125" s="105">
        <v>1.0</v>
      </c>
      <c r="V125" s="109"/>
      <c r="W125" s="109"/>
      <c r="X125" s="95"/>
      <c r="Y125" s="95"/>
      <c r="Z125" s="95"/>
      <c r="AA125" s="95"/>
      <c r="AB125" s="95"/>
      <c r="AC125" s="95"/>
      <c r="AD125" s="95"/>
      <c r="AE125" s="95"/>
    </row>
    <row r="126">
      <c r="A126" s="26" t="s">
        <v>567</v>
      </c>
      <c r="B126" s="39" t="s">
        <v>661</v>
      </c>
      <c r="C126" s="26" t="s">
        <v>568</v>
      </c>
      <c r="D126" s="26" t="s">
        <v>691</v>
      </c>
      <c r="E126" s="105">
        <v>8.98</v>
      </c>
      <c r="F126" s="105">
        <v>5.0</v>
      </c>
      <c r="G126" s="105">
        <f t="shared" si="13"/>
        <v>44.9</v>
      </c>
      <c r="H126" s="105">
        <v>200.0</v>
      </c>
      <c r="I126" s="98">
        <f t="shared" si="2"/>
        <v>0.2245</v>
      </c>
      <c r="J126" s="98">
        <f t="shared" si="3"/>
        <v>0.2745</v>
      </c>
      <c r="K126" s="39"/>
      <c r="L126" s="98">
        <f t="shared" si="4"/>
        <v>0.240215</v>
      </c>
      <c r="M126" s="105">
        <v>0.0</v>
      </c>
      <c r="N126" s="98">
        <f t="shared" si="5"/>
        <v>0</v>
      </c>
      <c r="O126" s="98">
        <f t="shared" si="6"/>
        <v>0.240215</v>
      </c>
      <c r="P126" s="98">
        <f t="shared" si="7"/>
        <v>0.01201075</v>
      </c>
      <c r="Q126" s="98">
        <f t="shared" si="14"/>
        <v>0.06005375</v>
      </c>
      <c r="R126" s="98">
        <f t="shared" si="9"/>
        <v>0.3122795</v>
      </c>
      <c r="S126" s="98">
        <f t="shared" si="10"/>
        <v>0.334139065</v>
      </c>
      <c r="T126" s="26" t="s">
        <v>689</v>
      </c>
      <c r="U126" s="26"/>
      <c r="V126" s="107"/>
      <c r="W126" s="107"/>
      <c r="X126" s="95"/>
      <c r="Y126" s="95"/>
      <c r="Z126" s="95"/>
      <c r="AA126" s="95"/>
      <c r="AB126" s="95"/>
      <c r="AC126" s="95"/>
      <c r="AD126" s="95"/>
      <c r="AE126" s="95"/>
    </row>
    <row r="127">
      <c r="A127" s="26" t="s">
        <v>569</v>
      </c>
      <c r="B127" s="39" t="s">
        <v>661</v>
      </c>
      <c r="C127" s="26" t="s">
        <v>570</v>
      </c>
      <c r="D127" s="26" t="s">
        <v>692</v>
      </c>
      <c r="E127" s="105">
        <v>8.98</v>
      </c>
      <c r="F127" s="105">
        <v>5.0</v>
      </c>
      <c r="G127" s="105">
        <f t="shared" si="13"/>
        <v>44.9</v>
      </c>
      <c r="H127" s="105">
        <v>200.0</v>
      </c>
      <c r="I127" s="98">
        <f t="shared" si="2"/>
        <v>0.2245</v>
      </c>
      <c r="J127" s="98">
        <f t="shared" si="3"/>
        <v>0.2745</v>
      </c>
      <c r="K127" s="39"/>
      <c r="L127" s="98">
        <f t="shared" si="4"/>
        <v>0.240215</v>
      </c>
      <c r="M127" s="105">
        <v>0.0</v>
      </c>
      <c r="N127" s="98">
        <f t="shared" si="5"/>
        <v>0</v>
      </c>
      <c r="O127" s="98">
        <f t="shared" si="6"/>
        <v>0.240215</v>
      </c>
      <c r="P127" s="98">
        <f t="shared" si="7"/>
        <v>0.01201075</v>
      </c>
      <c r="Q127" s="98">
        <f t="shared" si="14"/>
        <v>0.06005375</v>
      </c>
      <c r="R127" s="98">
        <f t="shared" si="9"/>
        <v>0.3122795</v>
      </c>
      <c r="S127" s="98">
        <f t="shared" si="10"/>
        <v>0.334139065</v>
      </c>
      <c r="T127" s="26" t="s">
        <v>689</v>
      </c>
      <c r="U127" s="26"/>
      <c r="V127" s="109"/>
      <c r="W127" s="109"/>
      <c r="X127" s="95"/>
      <c r="Y127" s="95"/>
      <c r="Z127" s="95"/>
      <c r="AA127" s="95"/>
      <c r="AB127" s="95"/>
      <c r="AC127" s="95"/>
      <c r="AD127" s="95"/>
      <c r="AE127" s="95"/>
    </row>
    <row r="128">
      <c r="A128" s="26" t="s">
        <v>571</v>
      </c>
      <c r="B128" s="39" t="s">
        <v>661</v>
      </c>
      <c r="C128" s="26" t="s">
        <v>572</v>
      </c>
      <c r="D128" s="26" t="s">
        <v>693</v>
      </c>
      <c r="E128" s="105">
        <v>35.5</v>
      </c>
      <c r="F128" s="105">
        <v>5.0</v>
      </c>
      <c r="G128" s="105">
        <f t="shared" si="13"/>
        <v>177.5</v>
      </c>
      <c r="H128" s="105">
        <v>500.0</v>
      </c>
      <c r="I128" s="98">
        <f t="shared" si="2"/>
        <v>0.355</v>
      </c>
      <c r="J128" s="98">
        <f t="shared" si="3"/>
        <v>0.405</v>
      </c>
      <c r="K128" s="39"/>
      <c r="L128" s="98">
        <f t="shared" si="4"/>
        <v>0.37985</v>
      </c>
      <c r="M128" s="105">
        <v>0.0</v>
      </c>
      <c r="N128" s="98">
        <f t="shared" si="5"/>
        <v>0</v>
      </c>
      <c r="O128" s="98">
        <f t="shared" si="6"/>
        <v>0.37985</v>
      </c>
      <c r="P128" s="98">
        <f t="shared" si="7"/>
        <v>0.0189925</v>
      </c>
      <c r="Q128" s="98">
        <f t="shared" si="14"/>
        <v>0.0949625</v>
      </c>
      <c r="R128" s="98">
        <f t="shared" si="9"/>
        <v>0.493805</v>
      </c>
      <c r="S128" s="98">
        <f t="shared" si="10"/>
        <v>0.52837135</v>
      </c>
      <c r="T128" s="26" t="s">
        <v>689</v>
      </c>
      <c r="U128" s="26"/>
      <c r="V128" s="107"/>
      <c r="W128" s="107"/>
      <c r="X128" s="95"/>
      <c r="Y128" s="95"/>
      <c r="Z128" s="95"/>
      <c r="AA128" s="95"/>
      <c r="AB128" s="95"/>
      <c r="AC128" s="95"/>
      <c r="AD128" s="95"/>
      <c r="AE128" s="95"/>
    </row>
    <row r="129">
      <c r="A129" s="26" t="s">
        <v>361</v>
      </c>
      <c r="B129" s="39" t="s">
        <v>610</v>
      </c>
      <c r="C129" s="26" t="s">
        <v>362</v>
      </c>
      <c r="D129" s="26" t="s">
        <v>363</v>
      </c>
      <c r="E129" s="105">
        <v>47.0</v>
      </c>
      <c r="F129" s="105">
        <v>5.0</v>
      </c>
      <c r="G129" s="105">
        <f t="shared" si="13"/>
        <v>235</v>
      </c>
      <c r="H129" s="105">
        <v>1.0</v>
      </c>
      <c r="I129" s="98">
        <f t="shared" si="2"/>
        <v>235</v>
      </c>
      <c r="J129" s="98">
        <f t="shared" si="3"/>
        <v>235.05</v>
      </c>
      <c r="K129" s="39"/>
      <c r="L129" s="98">
        <f t="shared" si="4"/>
        <v>251.45</v>
      </c>
      <c r="M129" s="105">
        <v>0.0</v>
      </c>
      <c r="N129" s="98">
        <f t="shared" si="5"/>
        <v>0</v>
      </c>
      <c r="O129" s="98">
        <f t="shared" si="6"/>
        <v>251.45</v>
      </c>
      <c r="P129" s="98">
        <f t="shared" si="7"/>
        <v>12.5725</v>
      </c>
      <c r="Q129" s="98">
        <f t="shared" si="14"/>
        <v>62.8625</v>
      </c>
      <c r="R129" s="98">
        <f t="shared" si="9"/>
        <v>326.885</v>
      </c>
      <c r="S129" s="98">
        <f t="shared" si="10"/>
        <v>349.76695</v>
      </c>
      <c r="T129" s="26" t="s">
        <v>689</v>
      </c>
      <c r="U129" s="26"/>
      <c r="V129" s="109"/>
      <c r="W129" s="109"/>
      <c r="X129" s="95"/>
      <c r="Y129" s="95"/>
      <c r="Z129" s="95"/>
      <c r="AA129" s="95"/>
      <c r="AB129" s="95"/>
      <c r="AC129" s="95"/>
      <c r="AD129" s="95"/>
      <c r="AE129" s="95"/>
    </row>
    <row r="130">
      <c r="A130" s="26" t="s">
        <v>364</v>
      </c>
      <c r="B130" s="39" t="s">
        <v>610</v>
      </c>
      <c r="C130" s="26" t="s">
        <v>365</v>
      </c>
      <c r="D130" s="26" t="s">
        <v>366</v>
      </c>
      <c r="E130" s="105">
        <v>49.0</v>
      </c>
      <c r="F130" s="105">
        <v>5.0</v>
      </c>
      <c r="G130" s="105">
        <f t="shared" si="13"/>
        <v>245</v>
      </c>
      <c r="H130" s="105">
        <v>1.0</v>
      </c>
      <c r="I130" s="98">
        <f t="shared" si="2"/>
        <v>245</v>
      </c>
      <c r="J130" s="98">
        <f t="shared" si="3"/>
        <v>245.05</v>
      </c>
      <c r="K130" s="39"/>
      <c r="L130" s="98">
        <f t="shared" si="4"/>
        <v>262.15</v>
      </c>
      <c r="M130" s="105">
        <v>0.0</v>
      </c>
      <c r="N130" s="98">
        <f t="shared" si="5"/>
        <v>0</v>
      </c>
      <c r="O130" s="98">
        <f t="shared" si="6"/>
        <v>262.15</v>
      </c>
      <c r="P130" s="98">
        <f t="shared" si="7"/>
        <v>13.1075</v>
      </c>
      <c r="Q130" s="98">
        <f t="shared" si="14"/>
        <v>65.5375</v>
      </c>
      <c r="R130" s="98">
        <f t="shared" si="9"/>
        <v>340.795</v>
      </c>
      <c r="S130" s="98">
        <f t="shared" si="10"/>
        <v>364.65065</v>
      </c>
      <c r="T130" s="26" t="s">
        <v>689</v>
      </c>
      <c r="U130" s="26"/>
      <c r="V130" s="107"/>
      <c r="W130" s="107"/>
      <c r="X130" s="95"/>
      <c r="Y130" s="95"/>
      <c r="Z130" s="95"/>
      <c r="AA130" s="95"/>
      <c r="AB130" s="95"/>
      <c r="AC130" s="95"/>
      <c r="AD130" s="95"/>
      <c r="AE130" s="95"/>
    </row>
    <row r="131">
      <c r="A131" s="26" t="s">
        <v>367</v>
      </c>
      <c r="B131" s="39" t="s">
        <v>610</v>
      </c>
      <c r="C131" s="26" t="s">
        <v>368</v>
      </c>
      <c r="D131" s="26" t="s">
        <v>369</v>
      </c>
      <c r="E131" s="105">
        <v>30.84</v>
      </c>
      <c r="F131" s="105">
        <v>5.0</v>
      </c>
      <c r="G131" s="105">
        <f t="shared" si="13"/>
        <v>154.2</v>
      </c>
      <c r="H131" s="105">
        <v>3.0</v>
      </c>
      <c r="I131" s="98">
        <f t="shared" si="2"/>
        <v>51.4</v>
      </c>
      <c r="J131" s="98">
        <f t="shared" si="3"/>
        <v>51.45</v>
      </c>
      <c r="K131" s="39"/>
      <c r="L131" s="98">
        <f t="shared" si="4"/>
        <v>54.998</v>
      </c>
      <c r="M131" s="105">
        <v>0.0</v>
      </c>
      <c r="N131" s="98">
        <f t="shared" si="5"/>
        <v>0</v>
      </c>
      <c r="O131" s="98">
        <f t="shared" si="6"/>
        <v>54.998</v>
      </c>
      <c r="P131" s="98">
        <f t="shared" si="7"/>
        <v>2.7499</v>
      </c>
      <c r="Q131" s="98">
        <f t="shared" si="14"/>
        <v>13.7495</v>
      </c>
      <c r="R131" s="98">
        <f t="shared" si="9"/>
        <v>71.4974</v>
      </c>
      <c r="S131" s="98">
        <f t="shared" si="10"/>
        <v>76.502218</v>
      </c>
      <c r="T131" s="26" t="s">
        <v>689</v>
      </c>
      <c r="U131" s="26"/>
      <c r="V131" s="109"/>
      <c r="W131" s="109"/>
      <c r="X131" s="95"/>
      <c r="Y131" s="95"/>
      <c r="Z131" s="95"/>
      <c r="AA131" s="95"/>
      <c r="AB131" s="95"/>
      <c r="AC131" s="95"/>
      <c r="AD131" s="95"/>
      <c r="AE131" s="95"/>
    </row>
    <row r="132">
      <c r="A132" s="26" t="s">
        <v>370</v>
      </c>
      <c r="B132" s="39" t="s">
        <v>610</v>
      </c>
      <c r="C132" s="26" t="s">
        <v>371</v>
      </c>
      <c r="D132" s="26" t="s">
        <v>372</v>
      </c>
      <c r="E132" s="105">
        <v>20.56</v>
      </c>
      <c r="F132" s="105">
        <v>5.0</v>
      </c>
      <c r="G132" s="105">
        <f t="shared" si="13"/>
        <v>102.8</v>
      </c>
      <c r="H132" s="105">
        <v>2.0</v>
      </c>
      <c r="I132" s="98">
        <f t="shared" si="2"/>
        <v>51.4</v>
      </c>
      <c r="J132" s="98">
        <f t="shared" si="3"/>
        <v>51.45</v>
      </c>
      <c r="K132" s="39"/>
      <c r="L132" s="98">
        <f t="shared" si="4"/>
        <v>54.998</v>
      </c>
      <c r="M132" s="105">
        <v>0.0</v>
      </c>
      <c r="N132" s="98">
        <f t="shared" si="5"/>
        <v>0</v>
      </c>
      <c r="O132" s="98">
        <f t="shared" si="6"/>
        <v>54.998</v>
      </c>
      <c r="P132" s="98">
        <f t="shared" si="7"/>
        <v>2.7499</v>
      </c>
      <c r="Q132" s="98">
        <f t="shared" si="14"/>
        <v>13.7495</v>
      </c>
      <c r="R132" s="98">
        <f t="shared" si="9"/>
        <v>71.4974</v>
      </c>
      <c r="S132" s="98">
        <f t="shared" si="10"/>
        <v>76.502218</v>
      </c>
      <c r="T132" s="26" t="s">
        <v>689</v>
      </c>
      <c r="U132" s="26"/>
      <c r="V132" s="107"/>
      <c r="W132" s="107"/>
      <c r="X132" s="95"/>
      <c r="Y132" s="95"/>
      <c r="Z132" s="95"/>
      <c r="AA132" s="95"/>
      <c r="AB132" s="95"/>
      <c r="AC132" s="95"/>
      <c r="AD132" s="95"/>
      <c r="AE132" s="95"/>
    </row>
    <row r="133">
      <c r="A133" s="26" t="s">
        <v>261</v>
      </c>
      <c r="B133" s="39" t="s">
        <v>610</v>
      </c>
      <c r="C133" s="26" t="s">
        <v>262</v>
      </c>
      <c r="D133" s="26" t="s">
        <v>263</v>
      </c>
      <c r="E133" s="105">
        <v>32.8</v>
      </c>
      <c r="F133" s="105">
        <v>5.0</v>
      </c>
      <c r="G133" s="105">
        <f t="shared" si="13"/>
        <v>164</v>
      </c>
      <c r="H133" s="105">
        <v>10.0</v>
      </c>
      <c r="I133" s="98">
        <f t="shared" si="2"/>
        <v>16.4</v>
      </c>
      <c r="J133" s="98">
        <f t="shared" si="3"/>
        <v>16.45</v>
      </c>
      <c r="K133" s="39"/>
      <c r="L133" s="98">
        <f t="shared" si="4"/>
        <v>17.548</v>
      </c>
      <c r="M133" s="105">
        <v>0.0</v>
      </c>
      <c r="N133" s="98">
        <f t="shared" si="5"/>
        <v>0</v>
      </c>
      <c r="O133" s="98">
        <f t="shared" si="6"/>
        <v>17.548</v>
      </c>
      <c r="P133" s="98">
        <f t="shared" si="7"/>
        <v>0.8774</v>
      </c>
      <c r="Q133" s="98">
        <f t="shared" si="14"/>
        <v>4.387</v>
      </c>
      <c r="R133" s="98">
        <f t="shared" si="9"/>
        <v>22.8124</v>
      </c>
      <c r="S133" s="98">
        <f t="shared" si="10"/>
        <v>24.409268</v>
      </c>
      <c r="T133" s="26" t="s">
        <v>689</v>
      </c>
      <c r="U133" s="26"/>
      <c r="V133" s="109"/>
      <c r="W133" s="109"/>
      <c r="X133" s="95"/>
      <c r="Y133" s="95"/>
      <c r="Z133" s="95"/>
      <c r="AA133" s="95"/>
      <c r="AB133" s="95"/>
      <c r="AC133" s="95"/>
      <c r="AD133" s="95"/>
      <c r="AE133" s="95"/>
    </row>
    <row r="134">
      <c r="A134" s="26" t="s">
        <v>264</v>
      </c>
      <c r="B134" s="39" t="s">
        <v>610</v>
      </c>
      <c r="C134" s="26" t="s">
        <v>265</v>
      </c>
      <c r="D134" s="26" t="s">
        <v>266</v>
      </c>
      <c r="E134" s="105">
        <v>32.8</v>
      </c>
      <c r="F134" s="105">
        <v>5.0</v>
      </c>
      <c r="G134" s="105">
        <f t="shared" si="13"/>
        <v>164</v>
      </c>
      <c r="H134" s="105">
        <v>10.0</v>
      </c>
      <c r="I134" s="98">
        <f t="shared" si="2"/>
        <v>16.4</v>
      </c>
      <c r="J134" s="98">
        <f t="shared" si="3"/>
        <v>16.45</v>
      </c>
      <c r="K134" s="39"/>
      <c r="L134" s="98">
        <f t="shared" si="4"/>
        <v>17.548</v>
      </c>
      <c r="M134" s="105">
        <v>0.0</v>
      </c>
      <c r="N134" s="98">
        <f t="shared" si="5"/>
        <v>0</v>
      </c>
      <c r="O134" s="98">
        <f t="shared" si="6"/>
        <v>17.548</v>
      </c>
      <c r="P134" s="98">
        <f t="shared" si="7"/>
        <v>0.8774</v>
      </c>
      <c r="Q134" s="98">
        <f t="shared" si="14"/>
        <v>4.387</v>
      </c>
      <c r="R134" s="98">
        <f t="shared" si="9"/>
        <v>22.8124</v>
      </c>
      <c r="S134" s="98">
        <f t="shared" si="10"/>
        <v>24.409268</v>
      </c>
      <c r="T134" s="26" t="s">
        <v>689</v>
      </c>
      <c r="U134" s="26"/>
      <c r="V134" s="107"/>
      <c r="W134" s="107"/>
      <c r="X134" s="95"/>
      <c r="Y134" s="95"/>
      <c r="Z134" s="95"/>
      <c r="AA134" s="95"/>
      <c r="AB134" s="95"/>
      <c r="AC134" s="95"/>
      <c r="AD134" s="95"/>
      <c r="AE134" s="95"/>
    </row>
    <row r="135">
      <c r="A135" s="26" t="s">
        <v>373</v>
      </c>
      <c r="B135" s="39" t="s">
        <v>610</v>
      </c>
      <c r="C135" s="26" t="s">
        <v>374</v>
      </c>
      <c r="D135" s="26" t="s">
        <v>375</v>
      </c>
      <c r="E135" s="105">
        <v>34.56</v>
      </c>
      <c r="F135" s="105">
        <v>5.0</v>
      </c>
      <c r="G135" s="105">
        <f t="shared" si="13"/>
        <v>172.8</v>
      </c>
      <c r="H135" s="105">
        <v>2.0</v>
      </c>
      <c r="I135" s="98">
        <f t="shared" si="2"/>
        <v>86.4</v>
      </c>
      <c r="J135" s="98">
        <f t="shared" si="3"/>
        <v>86.45</v>
      </c>
      <c r="K135" s="39"/>
      <c r="L135" s="98">
        <f t="shared" si="4"/>
        <v>92.448</v>
      </c>
      <c r="M135" s="105">
        <v>0.0</v>
      </c>
      <c r="N135" s="98">
        <f t="shared" si="5"/>
        <v>0</v>
      </c>
      <c r="O135" s="98">
        <f t="shared" si="6"/>
        <v>92.448</v>
      </c>
      <c r="P135" s="98">
        <f t="shared" si="7"/>
        <v>4.6224</v>
      </c>
      <c r="Q135" s="98">
        <f t="shared" si="14"/>
        <v>23.112</v>
      </c>
      <c r="R135" s="98">
        <f t="shared" si="9"/>
        <v>120.1824</v>
      </c>
      <c r="S135" s="98">
        <f t="shared" si="10"/>
        <v>128.595168</v>
      </c>
      <c r="T135" s="26" t="s">
        <v>689</v>
      </c>
      <c r="U135" s="26"/>
      <c r="V135" s="109"/>
      <c r="W135" s="109"/>
      <c r="X135" s="95"/>
      <c r="Y135" s="95"/>
      <c r="Z135" s="95"/>
      <c r="AA135" s="95"/>
      <c r="AB135" s="95"/>
      <c r="AC135" s="95"/>
      <c r="AD135" s="95"/>
      <c r="AE135" s="95"/>
    </row>
    <row r="136">
      <c r="A136" s="26" t="s">
        <v>376</v>
      </c>
      <c r="B136" s="39" t="s">
        <v>610</v>
      </c>
      <c r="C136" s="26" t="s">
        <v>377</v>
      </c>
      <c r="D136" s="26" t="s">
        <v>378</v>
      </c>
      <c r="E136" s="105">
        <v>51.84</v>
      </c>
      <c r="F136" s="105">
        <v>5.0</v>
      </c>
      <c r="G136" s="105">
        <f t="shared" si="13"/>
        <v>259.2</v>
      </c>
      <c r="H136" s="105">
        <v>3.0</v>
      </c>
      <c r="I136" s="98">
        <f t="shared" si="2"/>
        <v>86.4</v>
      </c>
      <c r="J136" s="98">
        <f t="shared" si="3"/>
        <v>86.45</v>
      </c>
      <c r="K136" s="39"/>
      <c r="L136" s="98">
        <f t="shared" si="4"/>
        <v>92.448</v>
      </c>
      <c r="M136" s="105">
        <v>0.0</v>
      </c>
      <c r="N136" s="98">
        <f t="shared" si="5"/>
        <v>0</v>
      </c>
      <c r="O136" s="98">
        <f t="shared" si="6"/>
        <v>92.448</v>
      </c>
      <c r="P136" s="98">
        <f t="shared" si="7"/>
        <v>4.6224</v>
      </c>
      <c r="Q136" s="98">
        <f t="shared" si="14"/>
        <v>23.112</v>
      </c>
      <c r="R136" s="98">
        <f t="shared" si="9"/>
        <v>120.1824</v>
      </c>
      <c r="S136" s="98">
        <f t="shared" si="10"/>
        <v>128.595168</v>
      </c>
      <c r="T136" s="26" t="s">
        <v>689</v>
      </c>
      <c r="U136" s="26"/>
      <c r="V136" s="107"/>
      <c r="W136" s="107"/>
      <c r="X136" s="95"/>
      <c r="Y136" s="95"/>
      <c r="Z136" s="95"/>
      <c r="AA136" s="95"/>
      <c r="AB136" s="95"/>
      <c r="AC136" s="95"/>
      <c r="AD136" s="95"/>
      <c r="AE136" s="95"/>
    </row>
    <row r="137">
      <c r="A137" s="26" t="s">
        <v>267</v>
      </c>
      <c r="B137" s="39" t="s">
        <v>610</v>
      </c>
      <c r="C137" s="26" t="s">
        <v>268</v>
      </c>
      <c r="D137" s="26" t="s">
        <v>269</v>
      </c>
      <c r="E137" s="105">
        <v>72.8</v>
      </c>
      <c r="F137" s="105">
        <v>5.0</v>
      </c>
      <c r="G137" s="105">
        <f t="shared" si="13"/>
        <v>364</v>
      </c>
      <c r="H137" s="105">
        <v>10.0</v>
      </c>
      <c r="I137" s="98">
        <f t="shared" si="2"/>
        <v>36.4</v>
      </c>
      <c r="J137" s="98">
        <f t="shared" si="3"/>
        <v>36.45</v>
      </c>
      <c r="K137" s="39"/>
      <c r="L137" s="98">
        <f t="shared" si="4"/>
        <v>38.948</v>
      </c>
      <c r="M137" s="105">
        <v>0.0</v>
      </c>
      <c r="N137" s="98">
        <f t="shared" si="5"/>
        <v>0</v>
      </c>
      <c r="O137" s="98">
        <f t="shared" si="6"/>
        <v>38.948</v>
      </c>
      <c r="P137" s="98">
        <f t="shared" si="7"/>
        <v>1.9474</v>
      </c>
      <c r="Q137" s="98">
        <f t="shared" si="14"/>
        <v>9.737</v>
      </c>
      <c r="R137" s="98">
        <f t="shared" si="9"/>
        <v>50.6324</v>
      </c>
      <c r="S137" s="98">
        <f t="shared" si="10"/>
        <v>54.176668</v>
      </c>
      <c r="T137" s="26" t="s">
        <v>689</v>
      </c>
      <c r="U137" s="26"/>
      <c r="V137" s="109"/>
      <c r="W137" s="109"/>
      <c r="X137" s="95"/>
      <c r="Y137" s="95"/>
      <c r="Z137" s="95"/>
      <c r="AA137" s="95"/>
      <c r="AB137" s="95"/>
      <c r="AC137" s="95"/>
      <c r="AD137" s="95"/>
      <c r="AE137" s="95"/>
    </row>
    <row r="138">
      <c r="A138" s="26" t="s">
        <v>270</v>
      </c>
      <c r="B138" s="39" t="s">
        <v>610</v>
      </c>
      <c r="C138" s="26" t="s">
        <v>271</v>
      </c>
      <c r="D138" s="26" t="s">
        <v>272</v>
      </c>
      <c r="E138" s="105">
        <v>72.8</v>
      </c>
      <c r="F138" s="105">
        <v>5.0</v>
      </c>
      <c r="G138" s="105">
        <f t="shared" si="13"/>
        <v>364</v>
      </c>
      <c r="H138" s="105">
        <v>10.0</v>
      </c>
      <c r="I138" s="98">
        <f t="shared" si="2"/>
        <v>36.4</v>
      </c>
      <c r="J138" s="98">
        <f t="shared" si="3"/>
        <v>36.45</v>
      </c>
      <c r="K138" s="39"/>
      <c r="L138" s="98">
        <f t="shared" si="4"/>
        <v>38.948</v>
      </c>
      <c r="M138" s="105">
        <v>0.0</v>
      </c>
      <c r="N138" s="98">
        <f t="shared" si="5"/>
        <v>0</v>
      </c>
      <c r="O138" s="98">
        <f t="shared" si="6"/>
        <v>38.948</v>
      </c>
      <c r="P138" s="98">
        <f t="shared" si="7"/>
        <v>1.9474</v>
      </c>
      <c r="Q138" s="98">
        <f t="shared" si="14"/>
        <v>9.737</v>
      </c>
      <c r="R138" s="98">
        <f t="shared" si="9"/>
        <v>50.6324</v>
      </c>
      <c r="S138" s="98">
        <f t="shared" si="10"/>
        <v>54.176668</v>
      </c>
      <c r="T138" s="26" t="s">
        <v>689</v>
      </c>
      <c r="U138" s="26"/>
      <c r="V138" s="107"/>
      <c r="W138" s="107"/>
      <c r="X138" s="95"/>
      <c r="Y138" s="95"/>
      <c r="Z138" s="95"/>
      <c r="AA138" s="95"/>
      <c r="AB138" s="95"/>
      <c r="AC138" s="95"/>
      <c r="AD138" s="95"/>
      <c r="AE138" s="95"/>
    </row>
    <row r="139">
      <c r="A139" s="26" t="s">
        <v>243</v>
      </c>
      <c r="B139" s="39" t="s">
        <v>610</v>
      </c>
      <c r="C139" s="26" t="s">
        <v>244</v>
      </c>
      <c r="D139" s="26" t="s">
        <v>245</v>
      </c>
      <c r="E139" s="105">
        <v>14.8</v>
      </c>
      <c r="F139" s="105">
        <v>5.0</v>
      </c>
      <c r="G139" s="105">
        <f t="shared" si="13"/>
        <v>74</v>
      </c>
      <c r="H139" s="105">
        <v>2.0</v>
      </c>
      <c r="I139" s="98">
        <f t="shared" si="2"/>
        <v>37</v>
      </c>
      <c r="J139" s="98">
        <f t="shared" si="3"/>
        <v>37.05</v>
      </c>
      <c r="K139" s="39"/>
      <c r="L139" s="98">
        <f t="shared" si="4"/>
        <v>39.59</v>
      </c>
      <c r="M139" s="105">
        <v>0.0</v>
      </c>
      <c r="N139" s="98">
        <f t="shared" si="5"/>
        <v>0</v>
      </c>
      <c r="O139" s="98">
        <f t="shared" si="6"/>
        <v>39.59</v>
      </c>
      <c r="P139" s="98">
        <f t="shared" si="7"/>
        <v>1.9795</v>
      </c>
      <c r="Q139" s="98">
        <f t="shared" si="14"/>
        <v>9.8975</v>
      </c>
      <c r="R139" s="98">
        <f t="shared" si="9"/>
        <v>51.467</v>
      </c>
      <c r="S139" s="98">
        <f t="shared" si="10"/>
        <v>55.06969</v>
      </c>
      <c r="T139" s="26" t="s">
        <v>689</v>
      </c>
      <c r="U139" s="26"/>
      <c r="V139" s="109"/>
      <c r="W139" s="109"/>
      <c r="X139" s="95"/>
      <c r="Y139" s="95"/>
      <c r="Z139" s="95"/>
      <c r="AA139" s="95"/>
      <c r="AB139" s="95"/>
      <c r="AC139" s="95"/>
      <c r="AD139" s="95"/>
      <c r="AE139" s="95"/>
    </row>
    <row r="140">
      <c r="A140" s="26" t="s">
        <v>246</v>
      </c>
      <c r="B140" s="39" t="s">
        <v>610</v>
      </c>
      <c r="C140" s="26" t="s">
        <v>247</v>
      </c>
      <c r="D140" s="26" t="s">
        <v>248</v>
      </c>
      <c r="E140" s="105">
        <v>29.6</v>
      </c>
      <c r="F140" s="105">
        <v>5.0</v>
      </c>
      <c r="G140" s="105">
        <f t="shared" si="13"/>
        <v>148</v>
      </c>
      <c r="H140" s="105">
        <v>4.0</v>
      </c>
      <c r="I140" s="98">
        <f t="shared" si="2"/>
        <v>37</v>
      </c>
      <c r="J140" s="98">
        <f t="shared" si="3"/>
        <v>37.05</v>
      </c>
      <c r="K140" s="39"/>
      <c r="L140" s="98">
        <f t="shared" si="4"/>
        <v>39.59</v>
      </c>
      <c r="M140" s="105">
        <v>0.0</v>
      </c>
      <c r="N140" s="98">
        <f t="shared" si="5"/>
        <v>0</v>
      </c>
      <c r="O140" s="98">
        <f t="shared" si="6"/>
        <v>39.59</v>
      </c>
      <c r="P140" s="98">
        <f t="shared" si="7"/>
        <v>1.9795</v>
      </c>
      <c r="Q140" s="98">
        <f t="shared" si="14"/>
        <v>9.8975</v>
      </c>
      <c r="R140" s="98">
        <f t="shared" si="9"/>
        <v>51.467</v>
      </c>
      <c r="S140" s="98">
        <f t="shared" si="10"/>
        <v>55.06969</v>
      </c>
      <c r="T140" s="26" t="s">
        <v>689</v>
      </c>
      <c r="U140" s="26"/>
      <c r="V140" s="107"/>
      <c r="W140" s="107"/>
      <c r="X140" s="95"/>
      <c r="Y140" s="95"/>
      <c r="Z140" s="95"/>
      <c r="AA140" s="95"/>
      <c r="AB140" s="95"/>
      <c r="AC140" s="95"/>
      <c r="AD140" s="95"/>
      <c r="AE140" s="95"/>
    </row>
    <row r="141">
      <c r="A141" s="26" t="s">
        <v>249</v>
      </c>
      <c r="B141" s="39" t="s">
        <v>610</v>
      </c>
      <c r="C141" s="26" t="s">
        <v>250</v>
      </c>
      <c r="D141" s="26" t="s">
        <v>251</v>
      </c>
      <c r="E141" s="105">
        <v>37.0</v>
      </c>
      <c r="F141" s="105">
        <v>5.0</v>
      </c>
      <c r="G141" s="105">
        <f t="shared" si="13"/>
        <v>185</v>
      </c>
      <c r="H141" s="105">
        <v>5.0</v>
      </c>
      <c r="I141" s="98">
        <f t="shared" si="2"/>
        <v>37</v>
      </c>
      <c r="J141" s="98">
        <f t="shared" si="3"/>
        <v>37.05</v>
      </c>
      <c r="K141" s="39"/>
      <c r="L141" s="98">
        <f t="shared" si="4"/>
        <v>39.59</v>
      </c>
      <c r="M141" s="105">
        <v>0.0</v>
      </c>
      <c r="N141" s="98">
        <f t="shared" si="5"/>
        <v>0</v>
      </c>
      <c r="O141" s="98">
        <f t="shared" si="6"/>
        <v>39.59</v>
      </c>
      <c r="P141" s="98">
        <f t="shared" si="7"/>
        <v>1.9795</v>
      </c>
      <c r="Q141" s="98">
        <f t="shared" si="14"/>
        <v>9.8975</v>
      </c>
      <c r="R141" s="98">
        <f t="shared" si="9"/>
        <v>51.467</v>
      </c>
      <c r="S141" s="98">
        <f t="shared" si="10"/>
        <v>55.06969</v>
      </c>
      <c r="T141" s="26" t="s">
        <v>689</v>
      </c>
      <c r="U141" s="26"/>
      <c r="V141" s="109"/>
      <c r="W141" s="109"/>
      <c r="X141" s="95"/>
      <c r="Y141" s="95"/>
      <c r="Z141" s="95"/>
      <c r="AA141" s="95"/>
      <c r="AB141" s="95"/>
      <c r="AC141" s="95"/>
      <c r="AD141" s="95"/>
      <c r="AE141" s="95"/>
    </row>
    <row r="142">
      <c r="A142" s="26" t="s">
        <v>252</v>
      </c>
      <c r="B142" s="39" t="s">
        <v>610</v>
      </c>
      <c r="C142" s="26" t="s">
        <v>253</v>
      </c>
      <c r="D142" s="26" t="s">
        <v>254</v>
      </c>
      <c r="E142" s="105">
        <v>14.8</v>
      </c>
      <c r="F142" s="105">
        <v>5.0</v>
      </c>
      <c r="G142" s="105">
        <f t="shared" si="13"/>
        <v>74</v>
      </c>
      <c r="H142" s="105">
        <v>2.0</v>
      </c>
      <c r="I142" s="98">
        <f t="shared" si="2"/>
        <v>37</v>
      </c>
      <c r="J142" s="98">
        <f t="shared" si="3"/>
        <v>37.05</v>
      </c>
      <c r="K142" s="39"/>
      <c r="L142" s="98">
        <f t="shared" si="4"/>
        <v>39.59</v>
      </c>
      <c r="M142" s="105">
        <v>0.0</v>
      </c>
      <c r="N142" s="98">
        <f t="shared" si="5"/>
        <v>0</v>
      </c>
      <c r="O142" s="98">
        <f t="shared" si="6"/>
        <v>39.59</v>
      </c>
      <c r="P142" s="98">
        <f t="shared" si="7"/>
        <v>1.9795</v>
      </c>
      <c r="Q142" s="98">
        <f t="shared" si="14"/>
        <v>9.8975</v>
      </c>
      <c r="R142" s="98">
        <f t="shared" si="9"/>
        <v>51.467</v>
      </c>
      <c r="S142" s="98">
        <f t="shared" si="10"/>
        <v>55.06969</v>
      </c>
      <c r="T142" s="26" t="s">
        <v>689</v>
      </c>
      <c r="U142" s="26"/>
      <c r="V142" s="107"/>
      <c r="W142" s="107"/>
      <c r="X142" s="95"/>
      <c r="Y142" s="95"/>
      <c r="Z142" s="95"/>
      <c r="AA142" s="95"/>
      <c r="AB142" s="95"/>
      <c r="AC142" s="95"/>
      <c r="AD142" s="95"/>
      <c r="AE142" s="95"/>
    </row>
    <row r="143">
      <c r="A143" s="26" t="s">
        <v>379</v>
      </c>
      <c r="B143" s="39" t="s">
        <v>610</v>
      </c>
      <c r="C143" s="26" t="s">
        <v>380</v>
      </c>
      <c r="D143" s="26" t="s">
        <v>381</v>
      </c>
      <c r="E143" s="105">
        <v>30.42</v>
      </c>
      <c r="F143" s="105">
        <v>5.0</v>
      </c>
      <c r="G143" s="105">
        <f t="shared" si="13"/>
        <v>152.1</v>
      </c>
      <c r="H143" s="105">
        <v>2.0</v>
      </c>
      <c r="I143" s="98">
        <f t="shared" si="2"/>
        <v>76.05</v>
      </c>
      <c r="J143" s="98">
        <f t="shared" si="3"/>
        <v>76.1</v>
      </c>
      <c r="K143" s="39"/>
      <c r="L143" s="98">
        <f t="shared" si="4"/>
        <v>81.3735</v>
      </c>
      <c r="M143" s="105">
        <v>0.0</v>
      </c>
      <c r="N143" s="98">
        <f t="shared" si="5"/>
        <v>0</v>
      </c>
      <c r="O143" s="98">
        <f t="shared" si="6"/>
        <v>81.3735</v>
      </c>
      <c r="P143" s="98">
        <f t="shared" si="7"/>
        <v>4.068675</v>
      </c>
      <c r="Q143" s="98">
        <f t="shared" si="14"/>
        <v>20.343375</v>
      </c>
      <c r="R143" s="98">
        <f t="shared" si="9"/>
        <v>105.78555</v>
      </c>
      <c r="S143" s="98">
        <f t="shared" si="10"/>
        <v>113.1905385</v>
      </c>
      <c r="T143" s="26" t="s">
        <v>689</v>
      </c>
      <c r="U143" s="26"/>
      <c r="V143" s="109"/>
      <c r="W143" s="109"/>
      <c r="X143" s="95"/>
      <c r="Y143" s="95"/>
      <c r="Z143" s="95"/>
      <c r="AA143" s="95"/>
      <c r="AB143" s="95"/>
      <c r="AC143" s="95"/>
      <c r="AD143" s="95"/>
      <c r="AE143" s="95"/>
    </row>
    <row r="144">
      <c r="A144" s="26" t="s">
        <v>382</v>
      </c>
      <c r="B144" s="39" t="s">
        <v>610</v>
      </c>
      <c r="C144" s="26" t="s">
        <v>383</v>
      </c>
      <c r="D144" s="26" t="s">
        <v>384</v>
      </c>
      <c r="E144" s="105">
        <v>39.2</v>
      </c>
      <c r="F144" s="105">
        <v>5.0</v>
      </c>
      <c r="G144" s="105">
        <f t="shared" si="13"/>
        <v>196</v>
      </c>
      <c r="H144" s="105">
        <v>10.0</v>
      </c>
      <c r="I144" s="98">
        <f t="shared" si="2"/>
        <v>19.6</v>
      </c>
      <c r="J144" s="98">
        <f t="shared" si="3"/>
        <v>19.65</v>
      </c>
      <c r="K144" s="39"/>
      <c r="L144" s="98">
        <f t="shared" si="4"/>
        <v>20.972</v>
      </c>
      <c r="M144" s="105">
        <v>0.0</v>
      </c>
      <c r="N144" s="98">
        <f t="shared" si="5"/>
        <v>0</v>
      </c>
      <c r="O144" s="98">
        <f t="shared" si="6"/>
        <v>20.972</v>
      </c>
      <c r="P144" s="98">
        <f t="shared" si="7"/>
        <v>1.0486</v>
      </c>
      <c r="Q144" s="98">
        <f t="shared" si="14"/>
        <v>5.243</v>
      </c>
      <c r="R144" s="98">
        <f t="shared" si="9"/>
        <v>27.2636</v>
      </c>
      <c r="S144" s="98">
        <f t="shared" si="10"/>
        <v>29.172052</v>
      </c>
      <c r="T144" s="26" t="s">
        <v>689</v>
      </c>
      <c r="U144" s="26"/>
      <c r="V144" s="107"/>
      <c r="W144" s="107"/>
      <c r="X144" s="95"/>
      <c r="Y144" s="95"/>
      <c r="Z144" s="95"/>
      <c r="AA144" s="95"/>
      <c r="AB144" s="95"/>
      <c r="AC144" s="95"/>
      <c r="AD144" s="95"/>
      <c r="AE144" s="95"/>
    </row>
    <row r="145">
      <c r="A145" s="26" t="s">
        <v>385</v>
      </c>
      <c r="B145" s="39" t="s">
        <v>610</v>
      </c>
      <c r="C145" s="26" t="s">
        <v>386</v>
      </c>
      <c r="D145" s="26" t="s">
        <v>387</v>
      </c>
      <c r="E145" s="105">
        <v>68.7</v>
      </c>
      <c r="F145" s="105">
        <v>5.0</v>
      </c>
      <c r="G145" s="105">
        <f t="shared" si="13"/>
        <v>343.5</v>
      </c>
      <c r="H145" s="105">
        <v>10.0</v>
      </c>
      <c r="I145" s="98">
        <f t="shared" si="2"/>
        <v>34.35</v>
      </c>
      <c r="J145" s="98">
        <f t="shared" si="3"/>
        <v>34.4</v>
      </c>
      <c r="K145" s="39"/>
      <c r="L145" s="98">
        <f t="shared" si="4"/>
        <v>36.7545</v>
      </c>
      <c r="M145" s="105">
        <v>0.0</v>
      </c>
      <c r="N145" s="98">
        <f t="shared" si="5"/>
        <v>0</v>
      </c>
      <c r="O145" s="98">
        <f t="shared" si="6"/>
        <v>36.7545</v>
      </c>
      <c r="P145" s="98">
        <f t="shared" si="7"/>
        <v>1.837725</v>
      </c>
      <c r="Q145" s="98">
        <f t="shared" si="14"/>
        <v>9.188625</v>
      </c>
      <c r="R145" s="98">
        <f t="shared" si="9"/>
        <v>47.78085</v>
      </c>
      <c r="S145" s="98">
        <f t="shared" si="10"/>
        <v>51.1255095</v>
      </c>
      <c r="T145" s="26" t="s">
        <v>689</v>
      </c>
      <c r="U145" s="26"/>
      <c r="V145" s="109"/>
      <c r="W145" s="109"/>
      <c r="X145" s="95"/>
      <c r="Y145" s="95"/>
      <c r="Z145" s="95"/>
      <c r="AA145" s="95"/>
      <c r="AB145" s="95"/>
      <c r="AC145" s="95"/>
      <c r="AD145" s="95"/>
      <c r="AE145" s="95"/>
    </row>
    <row r="146">
      <c r="A146" s="26" t="s">
        <v>388</v>
      </c>
      <c r="B146" s="39" t="s">
        <v>610</v>
      </c>
      <c r="C146" s="26" t="s">
        <v>389</v>
      </c>
      <c r="D146" s="26" t="s">
        <v>390</v>
      </c>
      <c r="E146" s="105">
        <v>15.7</v>
      </c>
      <c r="F146" s="105">
        <v>5.0</v>
      </c>
      <c r="G146" s="105">
        <f t="shared" si="13"/>
        <v>78.5</v>
      </c>
      <c r="H146" s="105">
        <v>2.0</v>
      </c>
      <c r="I146" s="98">
        <f t="shared" si="2"/>
        <v>39.25</v>
      </c>
      <c r="J146" s="98">
        <f t="shared" si="3"/>
        <v>39.3</v>
      </c>
      <c r="K146" s="39"/>
      <c r="L146" s="98">
        <f t="shared" si="4"/>
        <v>41.9975</v>
      </c>
      <c r="M146" s="105">
        <v>0.0</v>
      </c>
      <c r="N146" s="98">
        <f t="shared" si="5"/>
        <v>0</v>
      </c>
      <c r="O146" s="98">
        <f t="shared" si="6"/>
        <v>41.9975</v>
      </c>
      <c r="P146" s="98">
        <f t="shared" si="7"/>
        <v>2.099875</v>
      </c>
      <c r="Q146" s="98">
        <f t="shared" si="14"/>
        <v>10.499375</v>
      </c>
      <c r="R146" s="98">
        <f t="shared" si="9"/>
        <v>54.59675</v>
      </c>
      <c r="S146" s="98">
        <f t="shared" si="10"/>
        <v>58.4185225</v>
      </c>
      <c r="T146" s="26" t="s">
        <v>689</v>
      </c>
      <c r="U146" s="26"/>
      <c r="V146" s="107"/>
      <c r="W146" s="107"/>
      <c r="X146" s="95"/>
      <c r="Y146" s="95"/>
      <c r="Z146" s="95"/>
      <c r="AA146" s="95"/>
      <c r="AB146" s="95"/>
      <c r="AC146" s="95"/>
      <c r="AD146" s="95"/>
      <c r="AE146" s="95"/>
    </row>
    <row r="147">
      <c r="A147" s="26" t="s">
        <v>294</v>
      </c>
      <c r="B147" s="39" t="s">
        <v>610</v>
      </c>
      <c r="C147" s="26" t="s">
        <v>295</v>
      </c>
      <c r="D147" s="26" t="s">
        <v>296</v>
      </c>
      <c r="E147" s="105">
        <v>38.5</v>
      </c>
      <c r="F147" s="105">
        <v>5.0</v>
      </c>
      <c r="G147" s="105">
        <f t="shared" si="13"/>
        <v>192.5</v>
      </c>
      <c r="H147" s="105">
        <v>5.0</v>
      </c>
      <c r="I147" s="98">
        <f t="shared" si="2"/>
        <v>38.5</v>
      </c>
      <c r="J147" s="98">
        <f t="shared" si="3"/>
        <v>38.55</v>
      </c>
      <c r="K147" s="39"/>
      <c r="L147" s="98">
        <f t="shared" si="4"/>
        <v>41.195</v>
      </c>
      <c r="M147" s="105">
        <v>0.0</v>
      </c>
      <c r="N147" s="98">
        <f t="shared" si="5"/>
        <v>0</v>
      </c>
      <c r="O147" s="98">
        <f t="shared" si="6"/>
        <v>41.195</v>
      </c>
      <c r="P147" s="98">
        <f t="shared" si="7"/>
        <v>2.05975</v>
      </c>
      <c r="Q147" s="98">
        <f t="shared" si="14"/>
        <v>10.29875</v>
      </c>
      <c r="R147" s="98">
        <f t="shared" si="9"/>
        <v>53.5535</v>
      </c>
      <c r="S147" s="98">
        <f t="shared" si="10"/>
        <v>57.302245</v>
      </c>
      <c r="T147" s="26" t="s">
        <v>689</v>
      </c>
      <c r="U147" s="26"/>
      <c r="V147" s="109"/>
      <c r="W147" s="109"/>
      <c r="X147" s="95"/>
      <c r="Y147" s="95"/>
      <c r="Z147" s="95"/>
      <c r="AA147" s="95"/>
      <c r="AB147" s="95"/>
      <c r="AC147" s="95"/>
      <c r="AD147" s="95"/>
      <c r="AE147" s="95"/>
    </row>
    <row r="148">
      <c r="A148" s="26" t="s">
        <v>275</v>
      </c>
      <c r="B148" s="39" t="s">
        <v>610</v>
      </c>
      <c r="C148" s="26" t="s">
        <v>276</v>
      </c>
      <c r="D148" s="26" t="s">
        <v>277</v>
      </c>
      <c r="E148" s="105">
        <v>112.0</v>
      </c>
      <c r="F148" s="105">
        <v>5.0</v>
      </c>
      <c r="G148" s="105">
        <f t="shared" si="13"/>
        <v>560</v>
      </c>
      <c r="H148" s="105">
        <v>20.0</v>
      </c>
      <c r="I148" s="98">
        <f t="shared" si="2"/>
        <v>28</v>
      </c>
      <c r="J148" s="98">
        <f t="shared" si="3"/>
        <v>28.05</v>
      </c>
      <c r="K148" s="39"/>
      <c r="L148" s="98">
        <f t="shared" si="4"/>
        <v>29.96</v>
      </c>
      <c r="M148" s="105">
        <v>0.0</v>
      </c>
      <c r="N148" s="98">
        <f t="shared" si="5"/>
        <v>0</v>
      </c>
      <c r="O148" s="98">
        <f t="shared" si="6"/>
        <v>29.96</v>
      </c>
      <c r="P148" s="98">
        <f t="shared" si="7"/>
        <v>1.498</v>
      </c>
      <c r="Q148" s="98">
        <f t="shared" si="14"/>
        <v>7.49</v>
      </c>
      <c r="R148" s="98">
        <f t="shared" si="9"/>
        <v>38.948</v>
      </c>
      <c r="S148" s="98">
        <f t="shared" si="10"/>
        <v>41.67436</v>
      </c>
      <c r="T148" s="26" t="s">
        <v>689</v>
      </c>
      <c r="U148" s="26"/>
      <c r="V148" s="107"/>
      <c r="W148" s="107"/>
      <c r="X148" s="95"/>
      <c r="Y148" s="95"/>
      <c r="Z148" s="95"/>
      <c r="AA148" s="95"/>
      <c r="AB148" s="95"/>
      <c r="AC148" s="95"/>
      <c r="AD148" s="95"/>
      <c r="AE148" s="95"/>
    </row>
    <row r="149">
      <c r="A149" s="26" t="s">
        <v>255</v>
      </c>
      <c r="B149" s="39" t="s">
        <v>610</v>
      </c>
      <c r="C149" s="26" t="s">
        <v>256</v>
      </c>
      <c r="D149" s="26" t="s">
        <v>694</v>
      </c>
      <c r="E149" s="105">
        <v>38.5</v>
      </c>
      <c r="F149" s="105">
        <v>5.0</v>
      </c>
      <c r="G149" s="105">
        <f t="shared" si="13"/>
        <v>192.5</v>
      </c>
      <c r="H149" s="105">
        <v>2.0</v>
      </c>
      <c r="I149" s="98">
        <f t="shared" si="2"/>
        <v>96.25</v>
      </c>
      <c r="J149" s="98">
        <f t="shared" si="3"/>
        <v>96.3</v>
      </c>
      <c r="K149" s="39"/>
      <c r="L149" s="98">
        <f t="shared" si="4"/>
        <v>102.9875</v>
      </c>
      <c r="M149" s="105">
        <v>0.0</v>
      </c>
      <c r="N149" s="98">
        <f t="shared" si="5"/>
        <v>0</v>
      </c>
      <c r="O149" s="98">
        <f t="shared" si="6"/>
        <v>102.9875</v>
      </c>
      <c r="P149" s="98">
        <f t="shared" si="7"/>
        <v>5.149375</v>
      </c>
      <c r="Q149" s="98">
        <f t="shared" si="14"/>
        <v>25.746875</v>
      </c>
      <c r="R149" s="98">
        <f t="shared" si="9"/>
        <v>133.88375</v>
      </c>
      <c r="S149" s="98">
        <f t="shared" si="10"/>
        <v>143.2556125</v>
      </c>
      <c r="T149" s="26" t="s">
        <v>689</v>
      </c>
      <c r="U149" s="26"/>
      <c r="V149" s="109"/>
      <c r="W149" s="109"/>
      <c r="X149" s="95"/>
      <c r="Y149" s="95"/>
      <c r="Z149" s="95"/>
      <c r="AA149" s="95"/>
      <c r="AB149" s="95"/>
      <c r="AC149" s="95"/>
      <c r="AD149" s="95"/>
      <c r="AE149" s="95"/>
    </row>
    <row r="150">
      <c r="A150" s="26" t="s">
        <v>193</v>
      </c>
      <c r="B150" s="39" t="s">
        <v>661</v>
      </c>
      <c r="C150" s="26" t="s">
        <v>194</v>
      </c>
      <c r="D150" s="61" t="s">
        <v>194</v>
      </c>
      <c r="E150" s="105">
        <v>32.86</v>
      </c>
      <c r="F150" s="105">
        <v>5.0</v>
      </c>
      <c r="G150" s="105">
        <f t="shared" si="13"/>
        <v>164.3</v>
      </c>
      <c r="H150" s="105">
        <v>100.0</v>
      </c>
      <c r="I150" s="98">
        <f t="shared" si="2"/>
        <v>1.643</v>
      </c>
      <c r="J150" s="98">
        <f t="shared" si="3"/>
        <v>1.693</v>
      </c>
      <c r="K150" s="39"/>
      <c r="L150" s="98">
        <f t="shared" si="4"/>
        <v>1.75801</v>
      </c>
      <c r="M150" s="105">
        <v>132.3</v>
      </c>
      <c r="N150" s="98">
        <f t="shared" si="5"/>
        <v>1.323</v>
      </c>
      <c r="O150" s="98">
        <f t="shared" si="6"/>
        <v>3.08101</v>
      </c>
      <c r="P150" s="98">
        <f t="shared" si="7"/>
        <v>0.1540505</v>
      </c>
      <c r="Q150" s="98">
        <f t="shared" si="14"/>
        <v>0.7702525</v>
      </c>
      <c r="R150" s="98">
        <f t="shared" si="9"/>
        <v>4.005313</v>
      </c>
      <c r="S150" s="98">
        <f t="shared" si="10"/>
        <v>4.28568491</v>
      </c>
      <c r="T150" s="26"/>
      <c r="U150" s="26"/>
      <c r="V150" s="107"/>
      <c r="W150" s="107"/>
      <c r="X150" s="95"/>
      <c r="Y150" s="95"/>
      <c r="Z150" s="95"/>
      <c r="AA150" s="95"/>
      <c r="AB150" s="95"/>
      <c r="AC150" s="95"/>
      <c r="AD150" s="95"/>
      <c r="AE150" s="95"/>
    </row>
    <row r="151">
      <c r="A151" s="26" t="s">
        <v>349</v>
      </c>
      <c r="B151" s="39" t="s">
        <v>644</v>
      </c>
      <c r="C151" s="58" t="s">
        <v>350</v>
      </c>
      <c r="D151" s="26" t="s">
        <v>351</v>
      </c>
      <c r="E151" s="105">
        <v>54.5</v>
      </c>
      <c r="F151" s="105">
        <v>5.0</v>
      </c>
      <c r="G151" s="105">
        <f t="shared" si="13"/>
        <v>272.5</v>
      </c>
      <c r="H151" s="105">
        <v>200.0</v>
      </c>
      <c r="I151" s="98">
        <f t="shared" si="2"/>
        <v>1.3625</v>
      </c>
      <c r="J151" s="98">
        <f t="shared" si="3"/>
        <v>1.4125</v>
      </c>
      <c r="K151" s="39"/>
      <c r="L151" s="98">
        <f t="shared" si="4"/>
        <v>1.457875</v>
      </c>
      <c r="M151" s="105">
        <v>203.04</v>
      </c>
      <c r="N151" s="105">
        <f t="shared" si="5"/>
        <v>1.0152</v>
      </c>
      <c r="O151" s="98">
        <f t="shared" si="6"/>
        <v>2.473075</v>
      </c>
      <c r="P151" s="98">
        <f t="shared" si="7"/>
        <v>0.12365375</v>
      </c>
      <c r="Q151" s="98">
        <f t="shared" si="14"/>
        <v>0.61826875</v>
      </c>
      <c r="R151" s="98">
        <f t="shared" si="9"/>
        <v>3.2149975</v>
      </c>
      <c r="S151" s="98">
        <f t="shared" si="10"/>
        <v>3.440047325</v>
      </c>
      <c r="T151" s="26" t="s">
        <v>695</v>
      </c>
      <c r="U151" s="105">
        <v>1.0</v>
      </c>
      <c r="V151" s="107"/>
      <c r="W151" s="107"/>
      <c r="X151" s="95"/>
      <c r="Y151" s="95"/>
      <c r="Z151" s="95"/>
      <c r="AA151" s="95"/>
      <c r="AB151" s="95"/>
      <c r="AC151" s="95"/>
      <c r="AD151" s="95"/>
      <c r="AE151" s="95"/>
    </row>
    <row r="152">
      <c r="A152" s="26" t="s">
        <v>573</v>
      </c>
      <c r="B152" s="39" t="s">
        <v>644</v>
      </c>
      <c r="C152" s="26" t="s">
        <v>574</v>
      </c>
      <c r="D152" s="26" t="s">
        <v>696</v>
      </c>
      <c r="E152" s="105">
        <f>283.7+13500</f>
        <v>13783.7</v>
      </c>
      <c r="F152" s="105">
        <v>5.0</v>
      </c>
      <c r="G152" s="105">
        <f t="shared" si="13"/>
        <v>68918.5</v>
      </c>
      <c r="H152" s="105">
        <f>20000+1000000</f>
        <v>1020000</v>
      </c>
      <c r="I152" s="98">
        <f t="shared" si="2"/>
        <v>0.06756715686</v>
      </c>
      <c r="J152" s="98">
        <f t="shared" si="3"/>
        <v>0.1175671569</v>
      </c>
      <c r="K152" s="39"/>
      <c r="L152" s="98">
        <f t="shared" si="4"/>
        <v>0.07229685784</v>
      </c>
      <c r="M152" s="105">
        <f>210.11+14964</f>
        <v>15174.11</v>
      </c>
      <c r="N152" s="105">
        <f t="shared" si="5"/>
        <v>0.01487657843</v>
      </c>
      <c r="O152" s="98">
        <f t="shared" si="6"/>
        <v>0.08717343627</v>
      </c>
      <c r="P152" s="98">
        <f t="shared" si="7"/>
        <v>0.004358671814</v>
      </c>
      <c r="Q152" s="98">
        <f t="shared" si="14"/>
        <v>0.02179335907</v>
      </c>
      <c r="R152" s="98">
        <f t="shared" si="9"/>
        <v>0.1133254672</v>
      </c>
      <c r="S152" s="98">
        <f t="shared" si="10"/>
        <v>0.1212582499</v>
      </c>
      <c r="T152" s="26" t="s">
        <v>697</v>
      </c>
      <c r="U152" s="105">
        <v>1.0</v>
      </c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</row>
    <row r="153">
      <c r="A153" s="26" t="s">
        <v>60</v>
      </c>
      <c r="B153" s="39" t="s">
        <v>661</v>
      </c>
      <c r="C153" s="26" t="s">
        <v>61</v>
      </c>
      <c r="D153" s="26" t="s">
        <v>61</v>
      </c>
      <c r="E153" s="105">
        <v>1720.0</v>
      </c>
      <c r="F153" s="105">
        <v>5.0</v>
      </c>
      <c r="G153" s="105">
        <f t="shared" si="13"/>
        <v>8600</v>
      </c>
      <c r="H153" s="105">
        <v>10080.0</v>
      </c>
      <c r="I153" s="98">
        <f t="shared" si="2"/>
        <v>0.8531746032</v>
      </c>
      <c r="J153" s="98">
        <f t="shared" si="3"/>
        <v>0.9031746032</v>
      </c>
      <c r="K153" s="39"/>
      <c r="L153" s="98">
        <f t="shared" si="4"/>
        <v>0.9128968254</v>
      </c>
      <c r="M153" s="105">
        <v>857.495</v>
      </c>
      <c r="N153" s="105">
        <f t="shared" si="5"/>
        <v>0.08506894841</v>
      </c>
      <c r="O153" s="98">
        <f t="shared" si="6"/>
        <v>0.9979657738</v>
      </c>
      <c r="P153" s="98">
        <f t="shared" si="7"/>
        <v>0.04989828869</v>
      </c>
      <c r="Q153" s="98">
        <f t="shared" si="14"/>
        <v>0.2494914435</v>
      </c>
      <c r="R153" s="98">
        <f t="shared" si="9"/>
        <v>1.297355506</v>
      </c>
      <c r="S153" s="98">
        <f t="shared" si="10"/>
        <v>1.388170391</v>
      </c>
      <c r="T153" s="26" t="s">
        <v>698</v>
      </c>
      <c r="U153" s="105">
        <v>1.0</v>
      </c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</row>
    <row r="154">
      <c r="A154" s="26" t="s">
        <v>63</v>
      </c>
      <c r="B154" s="39" t="s">
        <v>661</v>
      </c>
      <c r="C154" s="26" t="s">
        <v>64</v>
      </c>
      <c r="D154" s="26" t="s">
        <v>64</v>
      </c>
      <c r="E154" s="105">
        <v>1050.0</v>
      </c>
      <c r="F154" s="105">
        <v>5.0</v>
      </c>
      <c r="G154" s="105">
        <f t="shared" si="13"/>
        <v>5250</v>
      </c>
      <c r="H154" s="105">
        <v>11200.0</v>
      </c>
      <c r="I154" s="98">
        <f t="shared" si="2"/>
        <v>0.46875</v>
      </c>
      <c r="J154" s="98">
        <f t="shared" si="3"/>
        <v>0.51875</v>
      </c>
      <c r="K154" s="39"/>
      <c r="L154" s="98">
        <f t="shared" si="4"/>
        <v>0.5015625</v>
      </c>
      <c r="M154" s="105">
        <v>857.495</v>
      </c>
      <c r="N154" s="105">
        <f t="shared" si="5"/>
        <v>0.07656205357</v>
      </c>
      <c r="O154" s="98">
        <f t="shared" si="6"/>
        <v>0.5781245536</v>
      </c>
      <c r="P154" s="98">
        <f t="shared" si="7"/>
        <v>0.02890622768</v>
      </c>
      <c r="Q154" s="98">
        <f t="shared" si="14"/>
        <v>0.1445311384</v>
      </c>
      <c r="R154" s="98">
        <f t="shared" si="9"/>
        <v>0.7515619196</v>
      </c>
      <c r="S154" s="98">
        <f t="shared" si="10"/>
        <v>0.804171254</v>
      </c>
      <c r="T154" s="26" t="s">
        <v>698</v>
      </c>
      <c r="U154" s="105">
        <v>1.0</v>
      </c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</row>
    <row r="155">
      <c r="A155" s="26" t="s">
        <v>26</v>
      </c>
      <c r="B155" s="39" t="s">
        <v>661</v>
      </c>
      <c r="C155" s="26" t="s">
        <v>699</v>
      </c>
      <c r="D155" s="26" t="s">
        <v>699</v>
      </c>
      <c r="E155" s="105">
        <v>1326.6</v>
      </c>
      <c r="F155" s="105">
        <v>5.0</v>
      </c>
      <c r="G155" s="105">
        <f t="shared" si="13"/>
        <v>6633</v>
      </c>
      <c r="H155" s="105">
        <v>5000.0</v>
      </c>
      <c r="I155" s="98">
        <f t="shared" si="2"/>
        <v>1.3266</v>
      </c>
      <c r="J155" s="98">
        <f t="shared" si="3"/>
        <v>1.3766</v>
      </c>
      <c r="K155" s="39"/>
      <c r="L155" s="98">
        <f t="shared" si="4"/>
        <v>1.419462</v>
      </c>
      <c r="M155" s="105">
        <v>1561.86</v>
      </c>
      <c r="N155" s="105">
        <f t="shared" si="5"/>
        <v>0.312372</v>
      </c>
      <c r="O155" s="98">
        <f t="shared" si="6"/>
        <v>1.731834</v>
      </c>
      <c r="P155" s="98">
        <f t="shared" si="7"/>
        <v>0.0865917</v>
      </c>
      <c r="Q155" s="98">
        <f t="shared" si="14"/>
        <v>0.4329585</v>
      </c>
      <c r="R155" s="98">
        <f t="shared" si="9"/>
        <v>2.2513842</v>
      </c>
      <c r="S155" s="98">
        <f t="shared" si="10"/>
        <v>2.408981094</v>
      </c>
      <c r="T155" s="26" t="s">
        <v>700</v>
      </c>
      <c r="U155" s="105">
        <v>1.0</v>
      </c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</row>
    <row r="156">
      <c r="A156" s="26" t="s">
        <v>575</v>
      </c>
      <c r="B156" s="39" t="s">
        <v>661</v>
      </c>
      <c r="C156" s="58" t="s">
        <v>576</v>
      </c>
      <c r="D156" s="58" t="s">
        <v>576</v>
      </c>
      <c r="E156" s="105">
        <v>19.8</v>
      </c>
      <c r="F156" s="105">
        <v>5.0</v>
      </c>
      <c r="G156" s="105">
        <f t="shared" si="13"/>
        <v>99</v>
      </c>
      <c r="H156" s="105">
        <v>500.0</v>
      </c>
      <c r="I156" s="98">
        <f t="shared" si="2"/>
        <v>0.198</v>
      </c>
      <c r="J156" s="98">
        <f t="shared" si="3"/>
        <v>0.248</v>
      </c>
      <c r="K156" s="39"/>
      <c r="L156" s="98">
        <f t="shared" si="4"/>
        <v>0.21186</v>
      </c>
      <c r="M156" s="105">
        <v>20.79</v>
      </c>
      <c r="N156" s="105">
        <f t="shared" si="5"/>
        <v>0.04158</v>
      </c>
      <c r="O156" s="98">
        <f t="shared" si="6"/>
        <v>0.25344</v>
      </c>
      <c r="P156" s="98">
        <f t="shared" si="7"/>
        <v>0.012672</v>
      </c>
      <c r="Q156" s="98">
        <f t="shared" si="14"/>
        <v>0.06336</v>
      </c>
      <c r="R156" s="98">
        <f t="shared" si="9"/>
        <v>0.329472</v>
      </c>
      <c r="S156" s="98">
        <f t="shared" si="10"/>
        <v>0.35253504</v>
      </c>
      <c r="T156" s="26" t="s">
        <v>701</v>
      </c>
      <c r="U156" s="105">
        <v>1.0</v>
      </c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</row>
    <row r="157">
      <c r="A157" s="26" t="s">
        <v>577</v>
      </c>
      <c r="B157" s="39" t="s">
        <v>661</v>
      </c>
      <c r="C157" s="26" t="s">
        <v>578</v>
      </c>
      <c r="D157" s="26" t="s">
        <v>578</v>
      </c>
      <c r="E157" s="105">
        <v>241.12</v>
      </c>
      <c r="F157" s="105">
        <v>5.0</v>
      </c>
      <c r="G157" s="105">
        <f t="shared" si="13"/>
        <v>1205.6</v>
      </c>
      <c r="H157" s="105">
        <v>15000.0</v>
      </c>
      <c r="I157" s="98">
        <f t="shared" si="2"/>
        <v>0.08037333333</v>
      </c>
      <c r="J157" s="98">
        <f t="shared" si="3"/>
        <v>0.1303733333</v>
      </c>
      <c r="K157" s="39"/>
      <c r="L157" s="98">
        <f t="shared" si="4"/>
        <v>0.08599946667</v>
      </c>
      <c r="M157" s="105">
        <v>140.04</v>
      </c>
      <c r="N157" s="105">
        <f t="shared" si="5"/>
        <v>0.009336</v>
      </c>
      <c r="O157" s="98">
        <f t="shared" si="6"/>
        <v>0.09533546667</v>
      </c>
      <c r="P157" s="98">
        <f t="shared" si="7"/>
        <v>0.004766773333</v>
      </c>
      <c r="Q157" s="98">
        <f t="shared" si="14"/>
        <v>0.02383386667</v>
      </c>
      <c r="R157" s="98">
        <f t="shared" si="9"/>
        <v>0.1239361067</v>
      </c>
      <c r="S157" s="98">
        <f t="shared" si="10"/>
        <v>0.1326116341</v>
      </c>
      <c r="T157" s="26" t="s">
        <v>702</v>
      </c>
      <c r="U157" s="105">
        <v>1.0</v>
      </c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</row>
    <row r="158">
      <c r="A158" s="26" t="s">
        <v>579</v>
      </c>
      <c r="B158" s="39" t="s">
        <v>661</v>
      </c>
      <c r="C158" s="26" t="s">
        <v>580</v>
      </c>
      <c r="D158" s="26" t="s">
        <v>580</v>
      </c>
      <c r="E158" s="105">
        <v>17.8</v>
      </c>
      <c r="F158" s="105">
        <v>5.0</v>
      </c>
      <c r="G158" s="105">
        <f t="shared" si="13"/>
        <v>89</v>
      </c>
      <c r="H158" s="105">
        <v>850.0</v>
      </c>
      <c r="I158" s="98">
        <f t="shared" si="2"/>
        <v>0.1047058824</v>
      </c>
      <c r="J158" s="98">
        <f t="shared" si="3"/>
        <v>0.1547058824</v>
      </c>
      <c r="K158" s="39"/>
      <c r="L158" s="98">
        <f t="shared" si="4"/>
        <v>0.1120352941</v>
      </c>
      <c r="M158" s="105">
        <v>6.625</v>
      </c>
      <c r="N158" s="105">
        <f t="shared" si="5"/>
        <v>0.007794117647</v>
      </c>
      <c r="O158" s="98">
        <f t="shared" si="6"/>
        <v>0.1198294118</v>
      </c>
      <c r="P158" s="98">
        <f t="shared" si="7"/>
        <v>0.005991470588</v>
      </c>
      <c r="Q158" s="98">
        <f t="shared" si="14"/>
        <v>0.02995735294</v>
      </c>
      <c r="R158" s="98">
        <f t="shared" si="9"/>
        <v>0.1557782353</v>
      </c>
      <c r="S158" s="98">
        <f t="shared" si="10"/>
        <v>0.1666827118</v>
      </c>
      <c r="T158" s="26" t="s">
        <v>703</v>
      </c>
      <c r="U158" s="105">
        <v>1.0</v>
      </c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</row>
    <row r="159">
      <c r="A159" s="26" t="s">
        <v>581</v>
      </c>
      <c r="B159" s="39" t="s">
        <v>661</v>
      </c>
      <c r="C159" s="26" t="s">
        <v>582</v>
      </c>
      <c r="D159" s="26" t="s">
        <v>582</v>
      </c>
      <c r="E159" s="105">
        <v>9.9</v>
      </c>
      <c r="F159" s="105">
        <v>5.0</v>
      </c>
      <c r="G159" s="105">
        <f t="shared" si="13"/>
        <v>49.5</v>
      </c>
      <c r="H159" s="105">
        <v>250.0</v>
      </c>
      <c r="I159" s="98">
        <f t="shared" si="2"/>
        <v>0.198</v>
      </c>
      <c r="J159" s="98">
        <f t="shared" si="3"/>
        <v>0.248</v>
      </c>
      <c r="K159" s="39"/>
      <c r="L159" s="98">
        <f t="shared" si="4"/>
        <v>0.21186</v>
      </c>
      <c r="M159" s="105">
        <v>6.625</v>
      </c>
      <c r="N159" s="105">
        <f t="shared" si="5"/>
        <v>0.0265</v>
      </c>
      <c r="O159" s="98">
        <f t="shared" si="6"/>
        <v>0.23836</v>
      </c>
      <c r="P159" s="98">
        <f t="shared" si="7"/>
        <v>0.011918</v>
      </c>
      <c r="Q159" s="98">
        <f t="shared" si="14"/>
        <v>0.05959</v>
      </c>
      <c r="R159" s="98">
        <f t="shared" si="9"/>
        <v>0.309868</v>
      </c>
      <c r="S159" s="98">
        <f t="shared" si="10"/>
        <v>0.33155876</v>
      </c>
      <c r="T159" s="26" t="s">
        <v>703</v>
      </c>
      <c r="U159" s="105">
        <v>1.0</v>
      </c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</row>
    <row r="160">
      <c r="A160" s="26" t="s">
        <v>583</v>
      </c>
      <c r="B160" s="39" t="s">
        <v>661</v>
      </c>
      <c r="C160" s="26" t="s">
        <v>584</v>
      </c>
      <c r="D160" s="26" t="s">
        <v>584</v>
      </c>
      <c r="E160" s="105">
        <v>16.8</v>
      </c>
      <c r="F160" s="105">
        <v>5.0</v>
      </c>
      <c r="G160" s="105">
        <f t="shared" si="13"/>
        <v>84</v>
      </c>
      <c r="H160" s="105">
        <v>850.0</v>
      </c>
      <c r="I160" s="98">
        <f t="shared" si="2"/>
        <v>0.09882352941</v>
      </c>
      <c r="J160" s="98">
        <f t="shared" si="3"/>
        <v>0.1488235294</v>
      </c>
      <c r="K160" s="39"/>
      <c r="L160" s="98">
        <f t="shared" si="4"/>
        <v>0.1057411765</v>
      </c>
      <c r="M160" s="105">
        <v>6.625</v>
      </c>
      <c r="N160" s="105">
        <f t="shared" si="5"/>
        <v>0.007794117647</v>
      </c>
      <c r="O160" s="98">
        <f t="shared" si="6"/>
        <v>0.1135352941</v>
      </c>
      <c r="P160" s="98">
        <f t="shared" si="7"/>
        <v>0.005676764706</v>
      </c>
      <c r="Q160" s="98">
        <f t="shared" si="14"/>
        <v>0.02838382353</v>
      </c>
      <c r="R160" s="98">
        <f t="shared" si="9"/>
        <v>0.1475958824</v>
      </c>
      <c r="S160" s="98">
        <f t="shared" si="10"/>
        <v>0.1579275941</v>
      </c>
      <c r="T160" s="26" t="s">
        <v>703</v>
      </c>
      <c r="U160" s="105">
        <v>1.0</v>
      </c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</row>
    <row r="161">
      <c r="A161" s="26" t="s">
        <v>585</v>
      </c>
      <c r="B161" s="39" t="s">
        <v>661</v>
      </c>
      <c r="C161" s="26" t="s">
        <v>586</v>
      </c>
      <c r="D161" s="26" t="s">
        <v>586</v>
      </c>
      <c r="E161" s="105">
        <v>16.8</v>
      </c>
      <c r="F161" s="105">
        <v>5.0</v>
      </c>
      <c r="G161" s="105">
        <f t="shared" si="13"/>
        <v>84</v>
      </c>
      <c r="H161" s="105">
        <v>900.0</v>
      </c>
      <c r="I161" s="98">
        <f t="shared" si="2"/>
        <v>0.09333333333</v>
      </c>
      <c r="J161" s="98">
        <f t="shared" si="3"/>
        <v>0.1433333333</v>
      </c>
      <c r="K161" s="39"/>
      <c r="L161" s="98">
        <f t="shared" si="4"/>
        <v>0.09986666667</v>
      </c>
      <c r="M161" s="105">
        <v>6.625</v>
      </c>
      <c r="N161" s="105">
        <f t="shared" si="5"/>
        <v>0.007361111111</v>
      </c>
      <c r="O161" s="98">
        <f t="shared" si="6"/>
        <v>0.1072277778</v>
      </c>
      <c r="P161" s="98">
        <f t="shared" si="7"/>
        <v>0.005361388889</v>
      </c>
      <c r="Q161" s="98">
        <f t="shared" si="14"/>
        <v>0.02680694444</v>
      </c>
      <c r="R161" s="98">
        <f t="shared" si="9"/>
        <v>0.1393961111</v>
      </c>
      <c r="S161" s="98">
        <f t="shared" si="10"/>
        <v>0.1491538389</v>
      </c>
      <c r="T161" s="26" t="s">
        <v>703</v>
      </c>
      <c r="U161" s="105">
        <v>1.0</v>
      </c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</row>
    <row r="162">
      <c r="A162" s="26" t="s">
        <v>587</v>
      </c>
      <c r="B162" s="39" t="s">
        <v>661</v>
      </c>
      <c r="C162" s="26" t="s">
        <v>588</v>
      </c>
      <c r="D162" s="26" t="s">
        <v>588</v>
      </c>
      <c r="E162" s="105">
        <f>165+1650</f>
        <v>1815</v>
      </c>
      <c r="F162" s="105">
        <v>5.0</v>
      </c>
      <c r="G162" s="105">
        <f t="shared" si="13"/>
        <v>9075</v>
      </c>
      <c r="H162" s="111">
        <f>5000+50000</f>
        <v>55000</v>
      </c>
      <c r="I162" s="98">
        <f t="shared" si="2"/>
        <v>0.165</v>
      </c>
      <c r="J162" s="98">
        <f t="shared" si="3"/>
        <v>0.215</v>
      </c>
      <c r="K162" s="39"/>
      <c r="L162" s="98">
        <f t="shared" si="4"/>
        <v>0.17655</v>
      </c>
      <c r="M162" s="105">
        <f>120.75+246.79</f>
        <v>367.54</v>
      </c>
      <c r="N162" s="105">
        <f t="shared" si="5"/>
        <v>0.006682545455</v>
      </c>
      <c r="O162" s="98">
        <f t="shared" si="6"/>
        <v>0.1832325455</v>
      </c>
      <c r="P162" s="98">
        <f t="shared" si="7"/>
        <v>0.009161627273</v>
      </c>
      <c r="Q162" s="98">
        <f t="shared" si="14"/>
        <v>0.04580813636</v>
      </c>
      <c r="R162" s="98">
        <f t="shared" si="9"/>
        <v>0.2382023091</v>
      </c>
      <c r="S162" s="98">
        <f t="shared" si="10"/>
        <v>0.2548764707</v>
      </c>
      <c r="T162" s="26" t="s">
        <v>704</v>
      </c>
      <c r="U162" s="112">
        <v>46023.0</v>
      </c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</row>
    <row r="163">
      <c r="A163" s="26" t="s">
        <v>589</v>
      </c>
      <c r="B163" s="39" t="s">
        <v>661</v>
      </c>
      <c r="C163" s="26" t="s">
        <v>590</v>
      </c>
      <c r="D163" s="26" t="s">
        <v>590</v>
      </c>
      <c r="E163" s="105">
        <v>1650.0</v>
      </c>
      <c r="F163" s="105">
        <v>5.0</v>
      </c>
      <c r="G163" s="105">
        <f t="shared" si="13"/>
        <v>8250</v>
      </c>
      <c r="H163" s="105">
        <v>50000.0</v>
      </c>
      <c r="I163" s="98">
        <f t="shared" si="2"/>
        <v>0.165</v>
      </c>
      <c r="J163" s="98">
        <f t="shared" si="3"/>
        <v>0.215</v>
      </c>
      <c r="K163" s="39"/>
      <c r="L163" s="98">
        <f t="shared" si="4"/>
        <v>0.17655</v>
      </c>
      <c r="M163" s="105">
        <v>864.8</v>
      </c>
      <c r="N163" s="105">
        <f t="shared" si="5"/>
        <v>0.017296</v>
      </c>
      <c r="O163" s="98">
        <f t="shared" si="6"/>
        <v>0.193846</v>
      </c>
      <c r="P163" s="98">
        <f t="shared" si="7"/>
        <v>0.0096923</v>
      </c>
      <c r="Q163" s="98">
        <f t="shared" si="14"/>
        <v>0.0484615</v>
      </c>
      <c r="R163" s="98">
        <f t="shared" si="9"/>
        <v>0.2519998</v>
      </c>
      <c r="S163" s="98">
        <f t="shared" si="10"/>
        <v>0.269639786</v>
      </c>
      <c r="T163" s="26" t="s">
        <v>705</v>
      </c>
      <c r="U163" s="105">
        <v>2.0</v>
      </c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</row>
    <row r="164">
      <c r="A164" s="26" t="s">
        <v>706</v>
      </c>
      <c r="B164" s="39" t="s">
        <v>661</v>
      </c>
      <c r="C164" s="26"/>
      <c r="D164" s="26"/>
      <c r="E164" s="26"/>
      <c r="F164" s="105">
        <v>5.0</v>
      </c>
      <c r="G164" s="105">
        <f t="shared" si="13"/>
        <v>0</v>
      </c>
      <c r="H164" s="26"/>
      <c r="I164" s="93" t="str">
        <f t="shared" si="2"/>
        <v>#DIV/0!</v>
      </c>
      <c r="J164" s="93" t="str">
        <f t="shared" si="3"/>
        <v>#DIV/0!</v>
      </c>
      <c r="K164" s="39"/>
      <c r="L164" s="93" t="str">
        <f t="shared" si="4"/>
        <v>#DIV/0!</v>
      </c>
      <c r="M164" s="105">
        <v>0.0</v>
      </c>
      <c r="N164" s="113" t="str">
        <f t="shared" si="5"/>
        <v>#DIV/0!</v>
      </c>
      <c r="O164" s="93" t="str">
        <f t="shared" si="6"/>
        <v>#DIV/0!</v>
      </c>
      <c r="P164" s="93" t="str">
        <f t="shared" si="7"/>
        <v>#DIV/0!</v>
      </c>
      <c r="Q164" s="93" t="str">
        <f t="shared" si="14"/>
        <v>#DIV/0!</v>
      </c>
      <c r="R164" s="93" t="str">
        <f t="shared" si="9"/>
        <v>#DIV/0!</v>
      </c>
      <c r="S164" s="93" t="str">
        <f t="shared" si="10"/>
        <v>#DIV/0!</v>
      </c>
      <c r="T164" s="26"/>
      <c r="U164" s="26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</row>
    <row r="165">
      <c r="A165" s="26" t="s">
        <v>707</v>
      </c>
      <c r="B165" s="39" t="s">
        <v>661</v>
      </c>
      <c r="C165" s="26"/>
      <c r="D165" s="26"/>
      <c r="E165" s="26"/>
      <c r="F165" s="105">
        <v>5.0</v>
      </c>
      <c r="G165" s="105">
        <f t="shared" si="13"/>
        <v>0</v>
      </c>
      <c r="H165" s="26"/>
      <c r="I165" s="93" t="str">
        <f t="shared" si="2"/>
        <v>#DIV/0!</v>
      </c>
      <c r="J165" s="93" t="str">
        <f t="shared" si="3"/>
        <v>#DIV/0!</v>
      </c>
      <c r="K165" s="39"/>
      <c r="L165" s="93" t="str">
        <f t="shared" si="4"/>
        <v>#DIV/0!</v>
      </c>
      <c r="M165" s="105">
        <v>0.0</v>
      </c>
      <c r="N165" s="113" t="str">
        <f t="shared" si="5"/>
        <v>#DIV/0!</v>
      </c>
      <c r="O165" s="93" t="str">
        <f t="shared" si="6"/>
        <v>#DIV/0!</v>
      </c>
      <c r="P165" s="93" t="str">
        <f t="shared" si="7"/>
        <v>#DIV/0!</v>
      </c>
      <c r="Q165" s="93" t="str">
        <f t="shared" si="14"/>
        <v>#DIV/0!</v>
      </c>
      <c r="R165" s="93" t="str">
        <f t="shared" si="9"/>
        <v>#DIV/0!</v>
      </c>
      <c r="S165" s="93" t="str">
        <f t="shared" si="10"/>
        <v>#DIV/0!</v>
      </c>
      <c r="T165" s="26"/>
      <c r="U165" s="26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</row>
    <row r="166">
      <c r="A166" s="26" t="s">
        <v>708</v>
      </c>
      <c r="B166" s="39" t="s">
        <v>661</v>
      </c>
      <c r="C166" s="26"/>
      <c r="D166" s="26"/>
      <c r="E166" s="26"/>
      <c r="F166" s="26"/>
      <c r="G166" s="105">
        <f t="shared" si="13"/>
        <v>0</v>
      </c>
      <c r="H166" s="26"/>
      <c r="I166" s="93" t="str">
        <f t="shared" si="2"/>
        <v>#DIV/0!</v>
      </c>
      <c r="J166" s="93" t="str">
        <f t="shared" si="3"/>
        <v>#DIV/0!</v>
      </c>
      <c r="K166" s="39"/>
      <c r="L166" s="93" t="str">
        <f t="shared" si="4"/>
        <v>#DIV/0!</v>
      </c>
      <c r="M166" s="105">
        <v>0.0</v>
      </c>
      <c r="N166" s="113" t="str">
        <f t="shared" si="5"/>
        <v>#DIV/0!</v>
      </c>
      <c r="O166" s="93" t="str">
        <f t="shared" si="6"/>
        <v>#DIV/0!</v>
      </c>
      <c r="P166" s="93" t="str">
        <f t="shared" si="7"/>
        <v>#DIV/0!</v>
      </c>
      <c r="Q166" s="93" t="str">
        <f t="shared" si="14"/>
        <v>#DIV/0!</v>
      </c>
      <c r="R166" s="93" t="str">
        <f t="shared" si="9"/>
        <v>#DIV/0!</v>
      </c>
      <c r="S166" s="93" t="str">
        <f t="shared" si="10"/>
        <v>#DIV/0!</v>
      </c>
      <c r="T166" s="26"/>
      <c r="U166" s="26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</row>
    <row r="167">
      <c r="A167" s="26" t="s">
        <v>709</v>
      </c>
      <c r="B167" s="39" t="s">
        <v>661</v>
      </c>
      <c r="C167" s="26"/>
      <c r="D167" s="26"/>
      <c r="E167" s="26"/>
      <c r="F167" s="26"/>
      <c r="G167" s="105">
        <f t="shared" si="13"/>
        <v>0</v>
      </c>
      <c r="H167" s="26"/>
      <c r="I167" s="93" t="str">
        <f t="shared" si="2"/>
        <v>#DIV/0!</v>
      </c>
      <c r="J167" s="93" t="str">
        <f t="shared" si="3"/>
        <v>#DIV/0!</v>
      </c>
      <c r="K167" s="39"/>
      <c r="L167" s="93" t="str">
        <f t="shared" si="4"/>
        <v>#DIV/0!</v>
      </c>
      <c r="M167" s="105">
        <v>0.0</v>
      </c>
      <c r="N167" s="113" t="str">
        <f t="shared" si="5"/>
        <v>#DIV/0!</v>
      </c>
      <c r="O167" s="93" t="str">
        <f t="shared" si="6"/>
        <v>#DIV/0!</v>
      </c>
      <c r="P167" s="93" t="str">
        <f t="shared" si="7"/>
        <v>#DIV/0!</v>
      </c>
      <c r="Q167" s="93" t="str">
        <f t="shared" si="14"/>
        <v>#DIV/0!</v>
      </c>
      <c r="R167" s="93" t="str">
        <f t="shared" si="9"/>
        <v>#DIV/0!</v>
      </c>
      <c r="S167" s="93" t="str">
        <f t="shared" si="10"/>
        <v>#DIV/0!</v>
      </c>
      <c r="T167" s="26"/>
      <c r="U167" s="26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</row>
    <row r="168">
      <c r="A168" s="26" t="s">
        <v>710</v>
      </c>
      <c r="B168" s="39" t="s">
        <v>661</v>
      </c>
      <c r="C168" s="26"/>
      <c r="D168" s="26"/>
      <c r="E168" s="26"/>
      <c r="F168" s="26"/>
      <c r="G168" s="105">
        <f t="shared" si="13"/>
        <v>0</v>
      </c>
      <c r="H168" s="26"/>
      <c r="I168" s="93" t="str">
        <f t="shared" si="2"/>
        <v>#DIV/0!</v>
      </c>
      <c r="J168" s="93" t="str">
        <f t="shared" si="3"/>
        <v>#DIV/0!</v>
      </c>
      <c r="K168" s="39"/>
      <c r="L168" s="93" t="str">
        <f t="shared" si="4"/>
        <v>#DIV/0!</v>
      </c>
      <c r="M168" s="105">
        <v>0.0</v>
      </c>
      <c r="N168" s="113" t="str">
        <f t="shared" si="5"/>
        <v>#DIV/0!</v>
      </c>
      <c r="O168" s="93" t="str">
        <f t="shared" si="6"/>
        <v>#DIV/0!</v>
      </c>
      <c r="P168" s="93" t="str">
        <f t="shared" si="7"/>
        <v>#DIV/0!</v>
      </c>
      <c r="Q168" s="93" t="str">
        <f t="shared" si="14"/>
        <v>#DIV/0!</v>
      </c>
      <c r="R168" s="93" t="str">
        <f t="shared" si="9"/>
        <v>#DIV/0!</v>
      </c>
      <c r="S168" s="93" t="str">
        <f t="shared" si="10"/>
        <v>#DIV/0!</v>
      </c>
      <c r="T168" s="26"/>
      <c r="U168" s="26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</row>
    <row r="169">
      <c r="A169" s="26" t="s">
        <v>711</v>
      </c>
      <c r="B169" s="39" t="s">
        <v>661</v>
      </c>
      <c r="C169" s="26"/>
      <c r="D169" s="26"/>
      <c r="E169" s="26"/>
      <c r="F169" s="26"/>
      <c r="G169" s="105">
        <f t="shared" si="13"/>
        <v>0</v>
      </c>
      <c r="H169" s="26"/>
      <c r="I169" s="93" t="str">
        <f t="shared" si="2"/>
        <v>#DIV/0!</v>
      </c>
      <c r="J169" s="93" t="str">
        <f t="shared" si="3"/>
        <v>#DIV/0!</v>
      </c>
      <c r="K169" s="39"/>
      <c r="L169" s="93" t="str">
        <f t="shared" si="4"/>
        <v>#DIV/0!</v>
      </c>
      <c r="M169" s="105">
        <v>0.0</v>
      </c>
      <c r="N169" s="113" t="str">
        <f t="shared" si="5"/>
        <v>#DIV/0!</v>
      </c>
      <c r="O169" s="93" t="str">
        <f t="shared" si="6"/>
        <v>#DIV/0!</v>
      </c>
      <c r="P169" s="93" t="str">
        <f t="shared" si="7"/>
        <v>#DIV/0!</v>
      </c>
      <c r="Q169" s="93" t="str">
        <f t="shared" si="14"/>
        <v>#DIV/0!</v>
      </c>
      <c r="R169" s="93" t="str">
        <f t="shared" si="9"/>
        <v>#DIV/0!</v>
      </c>
      <c r="S169" s="93" t="str">
        <f t="shared" si="10"/>
        <v>#DIV/0!</v>
      </c>
      <c r="T169" s="26"/>
      <c r="U169" s="26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</row>
    <row r="170">
      <c r="A170" s="26" t="s">
        <v>712</v>
      </c>
      <c r="B170" s="39" t="s">
        <v>661</v>
      </c>
      <c r="C170" s="26"/>
      <c r="D170" s="26"/>
      <c r="E170" s="26"/>
      <c r="F170" s="26"/>
      <c r="G170" s="105">
        <f t="shared" si="13"/>
        <v>0</v>
      </c>
      <c r="H170" s="26"/>
      <c r="I170" s="93" t="str">
        <f t="shared" si="2"/>
        <v>#DIV/0!</v>
      </c>
      <c r="J170" s="93" t="str">
        <f t="shared" si="3"/>
        <v>#DIV/0!</v>
      </c>
      <c r="K170" s="39"/>
      <c r="L170" s="93" t="str">
        <f t="shared" si="4"/>
        <v>#DIV/0!</v>
      </c>
      <c r="M170" s="105">
        <v>0.0</v>
      </c>
      <c r="N170" s="113" t="str">
        <f t="shared" si="5"/>
        <v>#DIV/0!</v>
      </c>
      <c r="O170" s="93" t="str">
        <f t="shared" si="6"/>
        <v>#DIV/0!</v>
      </c>
      <c r="P170" s="93" t="str">
        <f t="shared" si="7"/>
        <v>#DIV/0!</v>
      </c>
      <c r="Q170" s="93" t="str">
        <f t="shared" si="14"/>
        <v>#DIV/0!</v>
      </c>
      <c r="R170" s="93" t="str">
        <f t="shared" si="9"/>
        <v>#DIV/0!</v>
      </c>
      <c r="S170" s="93" t="str">
        <f t="shared" si="10"/>
        <v>#DIV/0!</v>
      </c>
      <c r="T170" s="26"/>
      <c r="U170" s="26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</row>
    <row r="171">
      <c r="A171" s="26" t="s">
        <v>713</v>
      </c>
      <c r="B171" s="39" t="s">
        <v>661</v>
      </c>
      <c r="C171" s="26"/>
      <c r="D171" s="26"/>
      <c r="E171" s="26"/>
      <c r="F171" s="26"/>
      <c r="G171" s="105">
        <f t="shared" si="13"/>
        <v>0</v>
      </c>
      <c r="H171" s="26"/>
      <c r="I171" s="93" t="str">
        <f t="shared" si="2"/>
        <v>#DIV/0!</v>
      </c>
      <c r="J171" s="93" t="str">
        <f t="shared" si="3"/>
        <v>#DIV/0!</v>
      </c>
      <c r="K171" s="39"/>
      <c r="L171" s="93" t="str">
        <f t="shared" si="4"/>
        <v>#DIV/0!</v>
      </c>
      <c r="M171" s="105">
        <v>0.0</v>
      </c>
      <c r="N171" s="113" t="str">
        <f t="shared" si="5"/>
        <v>#DIV/0!</v>
      </c>
      <c r="O171" s="93" t="str">
        <f t="shared" si="6"/>
        <v>#DIV/0!</v>
      </c>
      <c r="P171" s="93" t="str">
        <f t="shared" si="7"/>
        <v>#DIV/0!</v>
      </c>
      <c r="Q171" s="93" t="str">
        <f t="shared" si="14"/>
        <v>#DIV/0!</v>
      </c>
      <c r="R171" s="93" t="str">
        <f t="shared" si="9"/>
        <v>#DIV/0!</v>
      </c>
      <c r="S171" s="93" t="str">
        <f t="shared" si="10"/>
        <v>#DIV/0!</v>
      </c>
      <c r="T171" s="26"/>
      <c r="U171" s="26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</row>
    <row r="172">
      <c r="A172" s="26" t="s">
        <v>714</v>
      </c>
      <c r="B172" s="39" t="s">
        <v>661</v>
      </c>
      <c r="C172" s="26"/>
      <c r="D172" s="26"/>
      <c r="E172" s="26"/>
      <c r="F172" s="26"/>
      <c r="G172" s="105">
        <f t="shared" si="13"/>
        <v>0</v>
      </c>
      <c r="H172" s="26"/>
      <c r="I172" s="93" t="str">
        <f t="shared" si="2"/>
        <v>#DIV/0!</v>
      </c>
      <c r="J172" s="93" t="str">
        <f t="shared" si="3"/>
        <v>#DIV/0!</v>
      </c>
      <c r="K172" s="39"/>
      <c r="L172" s="93" t="str">
        <f t="shared" si="4"/>
        <v>#DIV/0!</v>
      </c>
      <c r="M172" s="105">
        <v>0.0</v>
      </c>
      <c r="N172" s="113" t="str">
        <f t="shared" si="5"/>
        <v>#DIV/0!</v>
      </c>
      <c r="O172" s="93" t="str">
        <f t="shared" si="6"/>
        <v>#DIV/0!</v>
      </c>
      <c r="P172" s="93" t="str">
        <f t="shared" si="7"/>
        <v>#DIV/0!</v>
      </c>
      <c r="Q172" s="93" t="str">
        <f t="shared" si="14"/>
        <v>#DIV/0!</v>
      </c>
      <c r="R172" s="93" t="str">
        <f t="shared" si="9"/>
        <v>#DIV/0!</v>
      </c>
      <c r="S172" s="93" t="str">
        <f t="shared" si="10"/>
        <v>#DIV/0!</v>
      </c>
      <c r="T172" s="26"/>
      <c r="U172" s="26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</row>
    <row r="173">
      <c r="A173" s="26" t="s">
        <v>715</v>
      </c>
      <c r="B173" s="39" t="s">
        <v>661</v>
      </c>
      <c r="C173" s="26"/>
      <c r="D173" s="26"/>
      <c r="E173" s="26"/>
      <c r="F173" s="26"/>
      <c r="G173" s="105">
        <f t="shared" si="13"/>
        <v>0</v>
      </c>
      <c r="H173" s="26"/>
      <c r="I173" s="93" t="str">
        <f t="shared" si="2"/>
        <v>#DIV/0!</v>
      </c>
      <c r="J173" s="93" t="str">
        <f t="shared" si="3"/>
        <v>#DIV/0!</v>
      </c>
      <c r="K173" s="39"/>
      <c r="L173" s="93" t="str">
        <f t="shared" si="4"/>
        <v>#DIV/0!</v>
      </c>
      <c r="M173" s="105">
        <v>0.0</v>
      </c>
      <c r="N173" s="113" t="str">
        <f t="shared" si="5"/>
        <v>#DIV/0!</v>
      </c>
      <c r="O173" s="93" t="str">
        <f t="shared" si="6"/>
        <v>#DIV/0!</v>
      </c>
      <c r="P173" s="93" t="str">
        <f t="shared" si="7"/>
        <v>#DIV/0!</v>
      </c>
      <c r="Q173" s="93" t="str">
        <f t="shared" si="14"/>
        <v>#DIV/0!</v>
      </c>
      <c r="R173" s="93" t="str">
        <f t="shared" si="9"/>
        <v>#DIV/0!</v>
      </c>
      <c r="S173" s="93" t="str">
        <f t="shared" si="10"/>
        <v>#DIV/0!</v>
      </c>
      <c r="T173" s="26"/>
      <c r="U173" s="26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</row>
    <row r="174">
      <c r="A174" s="26" t="s">
        <v>716</v>
      </c>
      <c r="B174" s="39" t="s">
        <v>661</v>
      </c>
      <c r="C174" s="26"/>
      <c r="D174" s="26"/>
      <c r="E174" s="26"/>
      <c r="F174" s="26"/>
      <c r="G174" s="105">
        <f t="shared" si="13"/>
        <v>0</v>
      </c>
      <c r="H174" s="26"/>
      <c r="I174" s="93" t="str">
        <f t="shared" si="2"/>
        <v>#DIV/0!</v>
      </c>
      <c r="J174" s="93" t="str">
        <f t="shared" si="3"/>
        <v>#DIV/0!</v>
      </c>
      <c r="K174" s="39"/>
      <c r="L174" s="93" t="str">
        <f t="shared" si="4"/>
        <v>#DIV/0!</v>
      </c>
      <c r="M174" s="105">
        <v>0.0</v>
      </c>
      <c r="N174" s="113" t="str">
        <f t="shared" si="5"/>
        <v>#DIV/0!</v>
      </c>
      <c r="O174" s="93" t="str">
        <f t="shared" si="6"/>
        <v>#DIV/0!</v>
      </c>
      <c r="P174" s="93" t="str">
        <f t="shared" si="7"/>
        <v>#DIV/0!</v>
      </c>
      <c r="Q174" s="93" t="str">
        <f t="shared" si="14"/>
        <v>#DIV/0!</v>
      </c>
      <c r="R174" s="93" t="str">
        <f t="shared" si="9"/>
        <v>#DIV/0!</v>
      </c>
      <c r="S174" s="93" t="str">
        <f t="shared" si="10"/>
        <v>#DIV/0!</v>
      </c>
      <c r="T174" s="26"/>
      <c r="U174" s="26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</row>
    <row r="175">
      <c r="A175" s="26" t="s">
        <v>717</v>
      </c>
      <c r="B175" s="39" t="s">
        <v>661</v>
      </c>
      <c r="C175" s="26"/>
      <c r="D175" s="26"/>
      <c r="E175" s="26"/>
      <c r="F175" s="26"/>
      <c r="G175" s="105">
        <f t="shared" si="13"/>
        <v>0</v>
      </c>
      <c r="H175" s="26"/>
      <c r="I175" s="93" t="str">
        <f t="shared" si="2"/>
        <v>#DIV/0!</v>
      </c>
      <c r="J175" s="93" t="str">
        <f t="shared" si="3"/>
        <v>#DIV/0!</v>
      </c>
      <c r="K175" s="39"/>
      <c r="L175" s="93" t="str">
        <f t="shared" si="4"/>
        <v>#DIV/0!</v>
      </c>
      <c r="M175" s="105">
        <v>0.0</v>
      </c>
      <c r="N175" s="113" t="str">
        <f t="shared" si="5"/>
        <v>#DIV/0!</v>
      </c>
      <c r="O175" s="93" t="str">
        <f t="shared" si="6"/>
        <v>#DIV/0!</v>
      </c>
      <c r="P175" s="93" t="str">
        <f t="shared" si="7"/>
        <v>#DIV/0!</v>
      </c>
      <c r="Q175" s="93" t="str">
        <f t="shared" si="14"/>
        <v>#DIV/0!</v>
      </c>
      <c r="R175" s="93" t="str">
        <f t="shared" si="9"/>
        <v>#DIV/0!</v>
      </c>
      <c r="S175" s="93" t="str">
        <f t="shared" si="10"/>
        <v>#DIV/0!</v>
      </c>
      <c r="T175" s="26"/>
      <c r="U175" s="26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</row>
    <row r="176">
      <c r="A176" s="26" t="s">
        <v>718</v>
      </c>
      <c r="B176" s="39" t="s">
        <v>661</v>
      </c>
      <c r="C176" s="26"/>
      <c r="D176" s="26"/>
      <c r="E176" s="26"/>
      <c r="F176" s="26"/>
      <c r="G176" s="105">
        <f t="shared" si="13"/>
        <v>0</v>
      </c>
      <c r="H176" s="26"/>
      <c r="I176" s="93" t="str">
        <f t="shared" si="2"/>
        <v>#DIV/0!</v>
      </c>
      <c r="J176" s="93" t="str">
        <f t="shared" si="3"/>
        <v>#DIV/0!</v>
      </c>
      <c r="K176" s="39"/>
      <c r="L176" s="93" t="str">
        <f t="shared" si="4"/>
        <v>#DIV/0!</v>
      </c>
      <c r="M176" s="105">
        <v>0.0</v>
      </c>
      <c r="N176" s="113" t="str">
        <f t="shared" si="5"/>
        <v>#DIV/0!</v>
      </c>
      <c r="O176" s="93" t="str">
        <f t="shared" si="6"/>
        <v>#DIV/0!</v>
      </c>
      <c r="P176" s="93" t="str">
        <f t="shared" si="7"/>
        <v>#DIV/0!</v>
      </c>
      <c r="Q176" s="93" t="str">
        <f t="shared" si="14"/>
        <v>#DIV/0!</v>
      </c>
      <c r="R176" s="93" t="str">
        <f t="shared" si="9"/>
        <v>#DIV/0!</v>
      </c>
      <c r="S176" s="93" t="str">
        <f t="shared" si="10"/>
        <v>#DIV/0!</v>
      </c>
      <c r="T176" s="26"/>
      <c r="U176" s="26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</row>
    <row r="177">
      <c r="A177" s="26" t="s">
        <v>719</v>
      </c>
      <c r="B177" s="39" t="s">
        <v>661</v>
      </c>
      <c r="C177" s="26"/>
      <c r="D177" s="26"/>
      <c r="E177" s="26"/>
      <c r="F177" s="26"/>
      <c r="G177" s="105">
        <f t="shared" si="13"/>
        <v>0</v>
      </c>
      <c r="H177" s="26"/>
      <c r="I177" s="93" t="str">
        <f t="shared" si="2"/>
        <v>#DIV/0!</v>
      </c>
      <c r="J177" s="93" t="str">
        <f t="shared" si="3"/>
        <v>#DIV/0!</v>
      </c>
      <c r="K177" s="39"/>
      <c r="L177" s="93" t="str">
        <f t="shared" si="4"/>
        <v>#DIV/0!</v>
      </c>
      <c r="M177" s="105">
        <v>0.0</v>
      </c>
      <c r="N177" s="113" t="str">
        <f t="shared" si="5"/>
        <v>#DIV/0!</v>
      </c>
      <c r="O177" s="93" t="str">
        <f t="shared" si="6"/>
        <v>#DIV/0!</v>
      </c>
      <c r="P177" s="93" t="str">
        <f t="shared" si="7"/>
        <v>#DIV/0!</v>
      </c>
      <c r="Q177" s="93" t="str">
        <f t="shared" si="14"/>
        <v>#DIV/0!</v>
      </c>
      <c r="R177" s="93" t="str">
        <f t="shared" si="9"/>
        <v>#DIV/0!</v>
      </c>
      <c r="S177" s="93" t="str">
        <f t="shared" si="10"/>
        <v>#DIV/0!</v>
      </c>
      <c r="T177" s="26"/>
      <c r="U177" s="26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</row>
    <row r="178">
      <c r="A178" s="26" t="s">
        <v>720</v>
      </c>
      <c r="B178" s="39" t="s">
        <v>661</v>
      </c>
      <c r="C178" s="26"/>
      <c r="D178" s="26"/>
      <c r="E178" s="26"/>
      <c r="F178" s="26"/>
      <c r="G178" s="105">
        <f t="shared" si="13"/>
        <v>0</v>
      </c>
      <c r="H178" s="26"/>
      <c r="I178" s="93" t="str">
        <f t="shared" si="2"/>
        <v>#DIV/0!</v>
      </c>
      <c r="J178" s="93" t="str">
        <f t="shared" si="3"/>
        <v>#DIV/0!</v>
      </c>
      <c r="K178" s="39"/>
      <c r="L178" s="93" t="str">
        <f t="shared" si="4"/>
        <v>#DIV/0!</v>
      </c>
      <c r="M178" s="105">
        <v>0.0</v>
      </c>
      <c r="N178" s="113" t="str">
        <f t="shared" si="5"/>
        <v>#DIV/0!</v>
      </c>
      <c r="O178" s="93" t="str">
        <f t="shared" si="6"/>
        <v>#DIV/0!</v>
      </c>
      <c r="P178" s="93" t="str">
        <f t="shared" si="7"/>
        <v>#DIV/0!</v>
      </c>
      <c r="Q178" s="93" t="str">
        <f t="shared" si="14"/>
        <v>#DIV/0!</v>
      </c>
      <c r="R178" s="93" t="str">
        <f t="shared" si="9"/>
        <v>#DIV/0!</v>
      </c>
      <c r="S178" s="93" t="str">
        <f t="shared" si="10"/>
        <v>#DIV/0!</v>
      </c>
      <c r="T178" s="26"/>
      <c r="U178" s="26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</row>
    <row r="179">
      <c r="A179" s="26" t="s">
        <v>721</v>
      </c>
      <c r="B179" s="39" t="s">
        <v>661</v>
      </c>
      <c r="C179" s="26"/>
      <c r="D179" s="26"/>
      <c r="E179" s="26"/>
      <c r="F179" s="26"/>
      <c r="G179" s="105">
        <f t="shared" si="13"/>
        <v>0</v>
      </c>
      <c r="H179" s="26"/>
      <c r="I179" s="93" t="str">
        <f t="shared" si="2"/>
        <v>#DIV/0!</v>
      </c>
      <c r="J179" s="93" t="str">
        <f t="shared" si="3"/>
        <v>#DIV/0!</v>
      </c>
      <c r="K179" s="39"/>
      <c r="L179" s="93" t="str">
        <f t="shared" si="4"/>
        <v>#DIV/0!</v>
      </c>
      <c r="M179" s="105">
        <v>0.0</v>
      </c>
      <c r="N179" s="113" t="str">
        <f t="shared" si="5"/>
        <v>#DIV/0!</v>
      </c>
      <c r="O179" s="93" t="str">
        <f t="shared" si="6"/>
        <v>#DIV/0!</v>
      </c>
      <c r="P179" s="93" t="str">
        <f t="shared" si="7"/>
        <v>#DIV/0!</v>
      </c>
      <c r="Q179" s="93" t="str">
        <f t="shared" si="14"/>
        <v>#DIV/0!</v>
      </c>
      <c r="R179" s="93" t="str">
        <f t="shared" si="9"/>
        <v>#DIV/0!</v>
      </c>
      <c r="S179" s="93" t="str">
        <f t="shared" si="10"/>
        <v>#DIV/0!</v>
      </c>
      <c r="T179" s="26"/>
      <c r="U179" s="26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</row>
    <row r="180">
      <c r="A180" s="26" t="s">
        <v>722</v>
      </c>
      <c r="B180" s="39" t="s">
        <v>661</v>
      </c>
      <c r="C180" s="26"/>
      <c r="D180" s="26"/>
      <c r="E180" s="26"/>
      <c r="F180" s="26"/>
      <c r="G180" s="105">
        <f t="shared" si="13"/>
        <v>0</v>
      </c>
      <c r="H180" s="26"/>
      <c r="I180" s="93" t="str">
        <f t="shared" si="2"/>
        <v>#DIV/0!</v>
      </c>
      <c r="J180" s="93" t="str">
        <f t="shared" si="3"/>
        <v>#DIV/0!</v>
      </c>
      <c r="K180" s="39"/>
      <c r="L180" s="93" t="str">
        <f t="shared" si="4"/>
        <v>#DIV/0!</v>
      </c>
      <c r="M180" s="105">
        <v>0.0</v>
      </c>
      <c r="N180" s="26"/>
      <c r="O180" s="93" t="str">
        <f t="shared" si="6"/>
        <v>#DIV/0!</v>
      </c>
      <c r="P180" s="93" t="str">
        <f t="shared" si="7"/>
        <v>#DIV/0!</v>
      </c>
      <c r="Q180" s="93" t="str">
        <f t="shared" si="14"/>
        <v>#DIV/0!</v>
      </c>
      <c r="R180" s="93" t="str">
        <f t="shared" si="9"/>
        <v>#DIV/0!</v>
      </c>
      <c r="S180" s="93" t="str">
        <f t="shared" si="10"/>
        <v>#DIV/0!</v>
      </c>
      <c r="T180" s="26"/>
      <c r="U180" s="26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</row>
    <row r="181">
      <c r="A181" s="26" t="s">
        <v>723</v>
      </c>
      <c r="B181" s="39" t="s">
        <v>661</v>
      </c>
      <c r="C181" s="26"/>
      <c r="D181" s="26"/>
      <c r="E181" s="26"/>
      <c r="F181" s="26"/>
      <c r="G181" s="105">
        <f t="shared" si="13"/>
        <v>0</v>
      </c>
      <c r="H181" s="26"/>
      <c r="I181" s="93" t="str">
        <f t="shared" si="2"/>
        <v>#DIV/0!</v>
      </c>
      <c r="J181" s="93" t="str">
        <f t="shared" si="3"/>
        <v>#DIV/0!</v>
      </c>
      <c r="K181" s="39"/>
      <c r="L181" s="93" t="str">
        <f t="shared" si="4"/>
        <v>#DIV/0!</v>
      </c>
      <c r="M181" s="105">
        <v>0.0</v>
      </c>
      <c r="N181" s="26"/>
      <c r="O181" s="93" t="str">
        <f t="shared" si="6"/>
        <v>#DIV/0!</v>
      </c>
      <c r="P181" s="93" t="str">
        <f t="shared" si="7"/>
        <v>#DIV/0!</v>
      </c>
      <c r="Q181" s="93" t="str">
        <f t="shared" si="14"/>
        <v>#DIV/0!</v>
      </c>
      <c r="R181" s="93" t="str">
        <f t="shared" si="9"/>
        <v>#DIV/0!</v>
      </c>
      <c r="S181" s="93" t="str">
        <f t="shared" si="10"/>
        <v>#DIV/0!</v>
      </c>
      <c r="T181" s="26"/>
      <c r="U181" s="26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</row>
    <row r="182">
      <c r="A182" s="26" t="s">
        <v>724</v>
      </c>
      <c r="B182" s="39" t="s">
        <v>661</v>
      </c>
      <c r="C182" s="26"/>
      <c r="D182" s="26"/>
      <c r="E182" s="26"/>
      <c r="F182" s="26"/>
      <c r="G182" s="105">
        <f t="shared" si="13"/>
        <v>0</v>
      </c>
      <c r="H182" s="26"/>
      <c r="I182" s="93" t="str">
        <f t="shared" si="2"/>
        <v>#DIV/0!</v>
      </c>
      <c r="J182" s="93" t="str">
        <f t="shared" si="3"/>
        <v>#DIV/0!</v>
      </c>
      <c r="K182" s="39"/>
      <c r="L182" s="93" t="str">
        <f t="shared" si="4"/>
        <v>#DIV/0!</v>
      </c>
      <c r="M182" s="105">
        <v>0.0</v>
      </c>
      <c r="N182" s="26"/>
      <c r="O182" s="93" t="str">
        <f t="shared" si="6"/>
        <v>#DIV/0!</v>
      </c>
      <c r="P182" s="93" t="str">
        <f t="shared" si="7"/>
        <v>#DIV/0!</v>
      </c>
      <c r="Q182" s="93" t="str">
        <f t="shared" si="14"/>
        <v>#DIV/0!</v>
      </c>
      <c r="R182" s="93" t="str">
        <f t="shared" si="9"/>
        <v>#DIV/0!</v>
      </c>
      <c r="S182" s="93" t="str">
        <f t="shared" si="10"/>
        <v>#DIV/0!</v>
      </c>
      <c r="T182" s="26"/>
      <c r="U182" s="26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</row>
    <row r="183">
      <c r="A183" s="26" t="s">
        <v>725</v>
      </c>
      <c r="B183" s="39" t="s">
        <v>661</v>
      </c>
      <c r="C183" s="26"/>
      <c r="D183" s="26"/>
      <c r="E183" s="26"/>
      <c r="F183" s="26"/>
      <c r="G183" s="105">
        <f t="shared" si="13"/>
        <v>0</v>
      </c>
      <c r="H183" s="26"/>
      <c r="I183" s="93" t="str">
        <f t="shared" si="2"/>
        <v>#DIV/0!</v>
      </c>
      <c r="J183" s="39"/>
      <c r="K183" s="39"/>
      <c r="L183" s="93" t="str">
        <f t="shared" si="4"/>
        <v>#DIV/0!</v>
      </c>
      <c r="M183" s="105">
        <v>0.0</v>
      </c>
      <c r="N183" s="26"/>
      <c r="O183" s="93" t="str">
        <f t="shared" si="6"/>
        <v>#DIV/0!</v>
      </c>
      <c r="P183" s="93" t="str">
        <f t="shared" si="7"/>
        <v>#DIV/0!</v>
      </c>
      <c r="Q183" s="93" t="str">
        <f t="shared" si="14"/>
        <v>#DIV/0!</v>
      </c>
      <c r="R183" s="93" t="str">
        <f t="shared" si="9"/>
        <v>#DIV/0!</v>
      </c>
      <c r="S183" s="93" t="str">
        <f t="shared" si="10"/>
        <v>#DIV/0!</v>
      </c>
      <c r="T183" s="26"/>
      <c r="U183" s="26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</row>
    <row r="184">
      <c r="A184" s="26" t="s">
        <v>726</v>
      </c>
      <c r="B184" s="39" t="s">
        <v>661</v>
      </c>
      <c r="C184" s="26"/>
      <c r="D184" s="26"/>
      <c r="E184" s="26"/>
      <c r="F184" s="26"/>
      <c r="G184" s="105">
        <f t="shared" si="13"/>
        <v>0</v>
      </c>
      <c r="H184" s="26"/>
      <c r="I184" s="93" t="str">
        <f t="shared" si="2"/>
        <v>#DIV/0!</v>
      </c>
      <c r="J184" s="39"/>
      <c r="K184" s="39"/>
      <c r="L184" s="93" t="str">
        <f t="shared" si="4"/>
        <v>#DIV/0!</v>
      </c>
      <c r="M184" s="105">
        <v>0.0</v>
      </c>
      <c r="N184" s="26"/>
      <c r="O184" s="93" t="str">
        <f t="shared" si="6"/>
        <v>#DIV/0!</v>
      </c>
      <c r="P184" s="93" t="str">
        <f t="shared" si="7"/>
        <v>#DIV/0!</v>
      </c>
      <c r="Q184" s="93" t="str">
        <f t="shared" si="14"/>
        <v>#DIV/0!</v>
      </c>
      <c r="R184" s="93" t="str">
        <f t="shared" si="9"/>
        <v>#DIV/0!</v>
      </c>
      <c r="S184" s="93" t="str">
        <f t="shared" si="10"/>
        <v>#DIV/0!</v>
      </c>
      <c r="T184" s="26"/>
      <c r="U184" s="26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</row>
    <row r="185">
      <c r="A185" s="26" t="s">
        <v>727</v>
      </c>
      <c r="B185" s="39" t="s">
        <v>661</v>
      </c>
      <c r="C185" s="26"/>
      <c r="D185" s="26"/>
      <c r="E185" s="26"/>
      <c r="F185" s="26"/>
      <c r="G185" s="105">
        <f t="shared" si="13"/>
        <v>0</v>
      </c>
      <c r="H185" s="26"/>
      <c r="I185" s="93" t="str">
        <f t="shared" si="2"/>
        <v>#DIV/0!</v>
      </c>
      <c r="J185" s="39"/>
      <c r="K185" s="39"/>
      <c r="L185" s="93" t="str">
        <f t="shared" si="4"/>
        <v>#DIV/0!</v>
      </c>
      <c r="M185" s="105">
        <v>0.0</v>
      </c>
      <c r="N185" s="26"/>
      <c r="O185" s="93" t="str">
        <f t="shared" si="6"/>
        <v>#DIV/0!</v>
      </c>
      <c r="P185" s="93" t="str">
        <f t="shared" si="7"/>
        <v>#DIV/0!</v>
      </c>
      <c r="Q185" s="93" t="str">
        <f t="shared" si="14"/>
        <v>#DIV/0!</v>
      </c>
      <c r="R185" s="93" t="str">
        <f t="shared" si="9"/>
        <v>#DIV/0!</v>
      </c>
      <c r="S185" s="93" t="str">
        <f t="shared" si="10"/>
        <v>#DIV/0!</v>
      </c>
      <c r="T185" s="26"/>
      <c r="U185" s="26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</row>
    <row r="186">
      <c r="A186" s="26" t="s">
        <v>728</v>
      </c>
      <c r="B186" s="39" t="s">
        <v>661</v>
      </c>
      <c r="C186" s="26"/>
      <c r="D186" s="26"/>
      <c r="E186" s="26"/>
      <c r="F186" s="26"/>
      <c r="G186" s="105">
        <f t="shared" si="13"/>
        <v>0</v>
      </c>
      <c r="H186" s="26"/>
      <c r="I186" s="93" t="str">
        <f t="shared" si="2"/>
        <v>#DIV/0!</v>
      </c>
      <c r="J186" s="39"/>
      <c r="K186" s="39"/>
      <c r="L186" s="93" t="str">
        <f t="shared" si="4"/>
        <v>#DIV/0!</v>
      </c>
      <c r="M186" s="105">
        <v>0.0</v>
      </c>
      <c r="N186" s="26"/>
      <c r="O186" s="93" t="str">
        <f t="shared" si="6"/>
        <v>#DIV/0!</v>
      </c>
      <c r="P186" s="93" t="str">
        <f t="shared" si="7"/>
        <v>#DIV/0!</v>
      </c>
      <c r="Q186" s="93" t="str">
        <f t="shared" si="14"/>
        <v>#DIV/0!</v>
      </c>
      <c r="R186" s="93" t="str">
        <f t="shared" si="9"/>
        <v>#DIV/0!</v>
      </c>
      <c r="S186" s="93" t="str">
        <f t="shared" si="10"/>
        <v>#DIV/0!</v>
      </c>
      <c r="T186" s="26"/>
      <c r="U186" s="26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</row>
    <row r="187">
      <c r="A187" s="26" t="s">
        <v>729</v>
      </c>
      <c r="B187" s="39" t="s">
        <v>661</v>
      </c>
      <c r="C187" s="26"/>
      <c r="D187" s="26"/>
      <c r="E187" s="26"/>
      <c r="F187" s="26"/>
      <c r="G187" s="105">
        <f t="shared" si="13"/>
        <v>0</v>
      </c>
      <c r="H187" s="26"/>
      <c r="I187" s="93" t="str">
        <f t="shared" si="2"/>
        <v>#DIV/0!</v>
      </c>
      <c r="J187" s="39"/>
      <c r="K187" s="39"/>
      <c r="L187" s="93" t="str">
        <f t="shared" si="4"/>
        <v>#DIV/0!</v>
      </c>
      <c r="M187" s="105">
        <v>0.0</v>
      </c>
      <c r="N187" s="26"/>
      <c r="O187" s="93" t="str">
        <f t="shared" si="6"/>
        <v>#DIV/0!</v>
      </c>
      <c r="P187" s="93" t="str">
        <f t="shared" si="7"/>
        <v>#DIV/0!</v>
      </c>
      <c r="Q187" s="93" t="str">
        <f t="shared" si="14"/>
        <v>#DIV/0!</v>
      </c>
      <c r="R187" s="93" t="str">
        <f t="shared" si="9"/>
        <v>#DIV/0!</v>
      </c>
      <c r="S187" s="93" t="str">
        <f t="shared" si="10"/>
        <v>#DIV/0!</v>
      </c>
      <c r="T187" s="26"/>
      <c r="U187" s="26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</row>
    <row r="188">
      <c r="A188" s="26" t="s">
        <v>730</v>
      </c>
      <c r="B188" s="39" t="s">
        <v>661</v>
      </c>
      <c r="C188" s="26"/>
      <c r="D188" s="26"/>
      <c r="E188" s="26"/>
      <c r="F188" s="26"/>
      <c r="G188" s="105">
        <f t="shared" si="13"/>
        <v>0</v>
      </c>
      <c r="H188" s="26"/>
      <c r="I188" s="93" t="str">
        <f t="shared" si="2"/>
        <v>#DIV/0!</v>
      </c>
      <c r="J188" s="39"/>
      <c r="K188" s="39"/>
      <c r="L188" s="93" t="str">
        <f t="shared" si="4"/>
        <v>#DIV/0!</v>
      </c>
      <c r="M188" s="105">
        <v>0.0</v>
      </c>
      <c r="N188" s="26"/>
      <c r="O188" s="93" t="str">
        <f t="shared" si="6"/>
        <v>#DIV/0!</v>
      </c>
      <c r="P188" s="93" t="str">
        <f t="shared" si="7"/>
        <v>#DIV/0!</v>
      </c>
      <c r="Q188" s="93" t="str">
        <f t="shared" si="14"/>
        <v>#DIV/0!</v>
      </c>
      <c r="R188" s="93" t="str">
        <f t="shared" si="9"/>
        <v>#DIV/0!</v>
      </c>
      <c r="S188" s="93" t="str">
        <f t="shared" si="10"/>
        <v>#DIV/0!</v>
      </c>
      <c r="T188" s="26"/>
      <c r="U188" s="26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</row>
    <row r="189">
      <c r="A189" s="26" t="s">
        <v>731</v>
      </c>
      <c r="B189" s="39" t="s">
        <v>661</v>
      </c>
      <c r="C189" s="26"/>
      <c r="D189" s="26"/>
      <c r="E189" s="26"/>
      <c r="F189" s="26"/>
      <c r="G189" s="105">
        <f t="shared" si="13"/>
        <v>0</v>
      </c>
      <c r="H189" s="26"/>
      <c r="I189" s="93" t="str">
        <f t="shared" si="2"/>
        <v>#DIV/0!</v>
      </c>
      <c r="J189" s="39"/>
      <c r="K189" s="39"/>
      <c r="L189" s="93" t="str">
        <f t="shared" si="4"/>
        <v>#DIV/0!</v>
      </c>
      <c r="M189" s="105">
        <v>0.0</v>
      </c>
      <c r="N189" s="26"/>
      <c r="O189" s="93" t="str">
        <f t="shared" si="6"/>
        <v>#DIV/0!</v>
      </c>
      <c r="P189" s="93" t="str">
        <f t="shared" si="7"/>
        <v>#DIV/0!</v>
      </c>
      <c r="Q189" s="93" t="str">
        <f t="shared" si="14"/>
        <v>#DIV/0!</v>
      </c>
      <c r="R189" s="93" t="str">
        <f t="shared" si="9"/>
        <v>#DIV/0!</v>
      </c>
      <c r="S189" s="93" t="str">
        <f t="shared" si="10"/>
        <v>#DIV/0!</v>
      </c>
      <c r="T189" s="26"/>
      <c r="U189" s="26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</row>
    <row r="190">
      <c r="A190" s="26" t="s">
        <v>732</v>
      </c>
      <c r="B190" s="39" t="s">
        <v>661</v>
      </c>
      <c r="C190" s="26"/>
      <c r="D190" s="26"/>
      <c r="E190" s="26"/>
      <c r="F190" s="26"/>
      <c r="G190" s="105">
        <f t="shared" si="13"/>
        <v>0</v>
      </c>
      <c r="H190" s="26"/>
      <c r="I190" s="93" t="str">
        <f t="shared" si="2"/>
        <v>#DIV/0!</v>
      </c>
      <c r="J190" s="39"/>
      <c r="K190" s="39"/>
      <c r="L190" s="93" t="str">
        <f t="shared" si="4"/>
        <v>#DIV/0!</v>
      </c>
      <c r="M190" s="105">
        <v>0.0</v>
      </c>
      <c r="N190" s="26"/>
      <c r="O190" s="93" t="str">
        <f t="shared" si="6"/>
        <v>#DIV/0!</v>
      </c>
      <c r="P190" s="93" t="str">
        <f t="shared" si="7"/>
        <v>#DIV/0!</v>
      </c>
      <c r="Q190" s="93" t="str">
        <f t="shared" si="14"/>
        <v>#DIV/0!</v>
      </c>
      <c r="R190" s="93" t="str">
        <f t="shared" si="9"/>
        <v>#DIV/0!</v>
      </c>
      <c r="S190" s="93" t="str">
        <f t="shared" si="10"/>
        <v>#DIV/0!</v>
      </c>
      <c r="T190" s="26"/>
      <c r="U190" s="26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</row>
    <row r="191">
      <c r="A191" s="26" t="s">
        <v>733</v>
      </c>
      <c r="B191" s="39" t="s">
        <v>661</v>
      </c>
      <c r="C191" s="26"/>
      <c r="D191" s="26"/>
      <c r="E191" s="26"/>
      <c r="F191" s="26"/>
      <c r="G191" s="105">
        <f t="shared" si="13"/>
        <v>0</v>
      </c>
      <c r="H191" s="26"/>
      <c r="I191" s="93" t="str">
        <f t="shared" si="2"/>
        <v>#DIV/0!</v>
      </c>
      <c r="J191" s="39"/>
      <c r="K191" s="39"/>
      <c r="L191" s="93" t="str">
        <f t="shared" si="4"/>
        <v>#DIV/0!</v>
      </c>
      <c r="M191" s="105">
        <v>0.0</v>
      </c>
      <c r="N191" s="26"/>
      <c r="O191" s="93" t="str">
        <f t="shared" si="6"/>
        <v>#DIV/0!</v>
      </c>
      <c r="P191" s="93" t="str">
        <f t="shared" si="7"/>
        <v>#DIV/0!</v>
      </c>
      <c r="Q191" s="93" t="str">
        <f t="shared" si="14"/>
        <v>#DIV/0!</v>
      </c>
      <c r="R191" s="93" t="str">
        <f t="shared" si="9"/>
        <v>#DIV/0!</v>
      </c>
      <c r="S191" s="93" t="str">
        <f t="shared" si="10"/>
        <v>#DIV/0!</v>
      </c>
      <c r="T191" s="26"/>
      <c r="U191" s="26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</row>
    <row r="192">
      <c r="A192" s="26" t="s">
        <v>734</v>
      </c>
      <c r="B192" s="39" t="s">
        <v>661</v>
      </c>
      <c r="C192" s="26"/>
      <c r="D192" s="26"/>
      <c r="E192" s="26"/>
      <c r="F192" s="26"/>
      <c r="G192" s="105">
        <f t="shared" si="13"/>
        <v>0</v>
      </c>
      <c r="H192" s="26"/>
      <c r="I192" s="93" t="str">
        <f t="shared" si="2"/>
        <v>#DIV/0!</v>
      </c>
      <c r="J192" s="39"/>
      <c r="K192" s="39"/>
      <c r="L192" s="93" t="str">
        <f t="shared" si="4"/>
        <v>#DIV/0!</v>
      </c>
      <c r="M192" s="105">
        <v>0.0</v>
      </c>
      <c r="N192" s="26"/>
      <c r="O192" s="93" t="str">
        <f t="shared" si="6"/>
        <v>#DIV/0!</v>
      </c>
      <c r="P192" s="93" t="str">
        <f t="shared" si="7"/>
        <v>#DIV/0!</v>
      </c>
      <c r="Q192" s="93" t="str">
        <f t="shared" si="14"/>
        <v>#DIV/0!</v>
      </c>
      <c r="R192" s="93" t="str">
        <f t="shared" si="9"/>
        <v>#DIV/0!</v>
      </c>
      <c r="S192" s="93" t="str">
        <f t="shared" si="10"/>
        <v>#DIV/0!</v>
      </c>
      <c r="T192" s="26"/>
      <c r="U192" s="26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</row>
    <row r="193">
      <c r="A193" s="26" t="s">
        <v>735</v>
      </c>
      <c r="B193" s="39" t="s">
        <v>661</v>
      </c>
      <c r="C193" s="26"/>
      <c r="D193" s="26"/>
      <c r="E193" s="26"/>
      <c r="F193" s="26"/>
      <c r="G193" s="105">
        <f t="shared" si="13"/>
        <v>0</v>
      </c>
      <c r="H193" s="26"/>
      <c r="I193" s="93" t="str">
        <f t="shared" si="2"/>
        <v>#DIV/0!</v>
      </c>
      <c r="J193" s="39"/>
      <c r="K193" s="39"/>
      <c r="L193" s="93" t="str">
        <f t="shared" si="4"/>
        <v>#DIV/0!</v>
      </c>
      <c r="M193" s="105">
        <v>0.0</v>
      </c>
      <c r="N193" s="26"/>
      <c r="O193" s="93" t="str">
        <f t="shared" si="6"/>
        <v>#DIV/0!</v>
      </c>
      <c r="P193" s="93" t="str">
        <f t="shared" si="7"/>
        <v>#DIV/0!</v>
      </c>
      <c r="Q193" s="93" t="str">
        <f t="shared" si="14"/>
        <v>#DIV/0!</v>
      </c>
      <c r="R193" s="93" t="str">
        <f t="shared" si="9"/>
        <v>#DIV/0!</v>
      </c>
      <c r="S193" s="93" t="str">
        <f t="shared" si="10"/>
        <v>#DIV/0!</v>
      </c>
      <c r="T193" s="26"/>
      <c r="U193" s="26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</row>
    <row r="194">
      <c r="A194" s="26" t="s">
        <v>736</v>
      </c>
      <c r="B194" s="39" t="s">
        <v>661</v>
      </c>
      <c r="C194" s="26"/>
      <c r="D194" s="26"/>
      <c r="E194" s="26"/>
      <c r="F194" s="26"/>
      <c r="G194" s="105">
        <f t="shared" si="13"/>
        <v>0</v>
      </c>
      <c r="H194" s="26"/>
      <c r="I194" s="93" t="str">
        <f t="shared" si="2"/>
        <v>#DIV/0!</v>
      </c>
      <c r="J194" s="39"/>
      <c r="K194" s="39"/>
      <c r="L194" s="93" t="str">
        <f t="shared" si="4"/>
        <v>#DIV/0!</v>
      </c>
      <c r="M194" s="105">
        <v>0.0</v>
      </c>
      <c r="N194" s="26"/>
      <c r="O194" s="93" t="str">
        <f t="shared" si="6"/>
        <v>#DIV/0!</v>
      </c>
      <c r="P194" s="93" t="str">
        <f t="shared" si="7"/>
        <v>#DIV/0!</v>
      </c>
      <c r="Q194" s="93" t="str">
        <f t="shared" si="14"/>
        <v>#DIV/0!</v>
      </c>
      <c r="R194" s="93" t="str">
        <f t="shared" si="9"/>
        <v>#DIV/0!</v>
      </c>
      <c r="S194" s="93" t="str">
        <f t="shared" si="10"/>
        <v>#DIV/0!</v>
      </c>
      <c r="T194" s="26"/>
      <c r="U194" s="26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</row>
    <row r="195">
      <c r="A195" s="26" t="s">
        <v>737</v>
      </c>
      <c r="B195" s="39" t="s">
        <v>661</v>
      </c>
      <c r="C195" s="26"/>
      <c r="D195" s="26"/>
      <c r="E195" s="26"/>
      <c r="F195" s="26"/>
      <c r="G195" s="105">
        <f t="shared" si="13"/>
        <v>0</v>
      </c>
      <c r="H195" s="26"/>
      <c r="I195" s="93" t="str">
        <f t="shared" si="2"/>
        <v>#DIV/0!</v>
      </c>
      <c r="J195" s="39"/>
      <c r="K195" s="39"/>
      <c r="L195" s="93" t="str">
        <f t="shared" si="4"/>
        <v>#DIV/0!</v>
      </c>
      <c r="M195" s="105">
        <v>0.0</v>
      </c>
      <c r="N195" s="26"/>
      <c r="O195" s="93" t="str">
        <f t="shared" si="6"/>
        <v>#DIV/0!</v>
      </c>
      <c r="P195" s="93" t="str">
        <f t="shared" si="7"/>
        <v>#DIV/0!</v>
      </c>
      <c r="Q195" s="93" t="str">
        <f t="shared" si="14"/>
        <v>#DIV/0!</v>
      </c>
      <c r="R195" s="93" t="str">
        <f t="shared" si="9"/>
        <v>#DIV/0!</v>
      </c>
      <c r="S195" s="93" t="str">
        <f t="shared" si="10"/>
        <v>#DIV/0!</v>
      </c>
      <c r="T195" s="26"/>
      <c r="U195" s="26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</row>
    <row r="196">
      <c r="A196" s="26" t="s">
        <v>738</v>
      </c>
      <c r="B196" s="39" t="s">
        <v>661</v>
      </c>
      <c r="C196" s="26"/>
      <c r="D196" s="26"/>
      <c r="E196" s="26"/>
      <c r="F196" s="26"/>
      <c r="G196" s="105">
        <f t="shared" si="13"/>
        <v>0</v>
      </c>
      <c r="H196" s="26"/>
      <c r="I196" s="93" t="str">
        <f t="shared" si="2"/>
        <v>#DIV/0!</v>
      </c>
      <c r="J196" s="39"/>
      <c r="K196" s="39"/>
      <c r="L196" s="93" t="str">
        <f t="shared" si="4"/>
        <v>#DIV/0!</v>
      </c>
      <c r="M196" s="105">
        <v>0.0</v>
      </c>
      <c r="N196" s="26"/>
      <c r="O196" s="93" t="str">
        <f t="shared" si="6"/>
        <v>#DIV/0!</v>
      </c>
      <c r="P196" s="93" t="str">
        <f t="shared" si="7"/>
        <v>#DIV/0!</v>
      </c>
      <c r="Q196" s="93" t="str">
        <f t="shared" si="14"/>
        <v>#DIV/0!</v>
      </c>
      <c r="R196" s="93" t="str">
        <f t="shared" si="9"/>
        <v>#DIV/0!</v>
      </c>
      <c r="S196" s="93" t="str">
        <f t="shared" si="10"/>
        <v>#DIV/0!</v>
      </c>
      <c r="T196" s="26"/>
      <c r="U196" s="26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</row>
    <row r="197">
      <c r="A197" s="26" t="s">
        <v>739</v>
      </c>
      <c r="B197" s="39" t="s">
        <v>661</v>
      </c>
      <c r="C197" s="26"/>
      <c r="D197" s="26"/>
      <c r="E197" s="26"/>
      <c r="F197" s="26"/>
      <c r="G197" s="105">
        <f t="shared" si="13"/>
        <v>0</v>
      </c>
      <c r="H197" s="26"/>
      <c r="I197" s="93" t="str">
        <f t="shared" si="2"/>
        <v>#DIV/0!</v>
      </c>
      <c r="J197" s="39"/>
      <c r="K197" s="39"/>
      <c r="L197" s="93" t="str">
        <f t="shared" si="4"/>
        <v>#DIV/0!</v>
      </c>
      <c r="M197" s="105">
        <v>0.0</v>
      </c>
      <c r="N197" s="26"/>
      <c r="O197" s="93" t="str">
        <f t="shared" si="6"/>
        <v>#DIV/0!</v>
      </c>
      <c r="P197" s="93" t="str">
        <f t="shared" si="7"/>
        <v>#DIV/0!</v>
      </c>
      <c r="Q197" s="93" t="str">
        <f t="shared" si="14"/>
        <v>#DIV/0!</v>
      </c>
      <c r="R197" s="93" t="str">
        <f t="shared" si="9"/>
        <v>#DIV/0!</v>
      </c>
      <c r="S197" s="93" t="str">
        <f t="shared" si="10"/>
        <v>#DIV/0!</v>
      </c>
      <c r="T197" s="26"/>
      <c r="U197" s="26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</row>
    <row r="198">
      <c r="A198" s="26" t="s">
        <v>740</v>
      </c>
      <c r="B198" s="39" t="s">
        <v>661</v>
      </c>
      <c r="C198" s="26"/>
      <c r="D198" s="26"/>
      <c r="E198" s="26"/>
      <c r="F198" s="26"/>
      <c r="G198" s="105">
        <f t="shared" si="13"/>
        <v>0</v>
      </c>
      <c r="H198" s="26"/>
      <c r="I198" s="93" t="str">
        <f t="shared" si="2"/>
        <v>#DIV/0!</v>
      </c>
      <c r="J198" s="39"/>
      <c r="K198" s="39"/>
      <c r="L198" s="93" t="str">
        <f t="shared" si="4"/>
        <v>#DIV/0!</v>
      </c>
      <c r="M198" s="105">
        <v>0.0</v>
      </c>
      <c r="N198" s="26"/>
      <c r="O198" s="93" t="str">
        <f t="shared" si="6"/>
        <v>#DIV/0!</v>
      </c>
      <c r="P198" s="93" t="str">
        <f t="shared" si="7"/>
        <v>#DIV/0!</v>
      </c>
      <c r="Q198" s="93" t="str">
        <f t="shared" si="14"/>
        <v>#DIV/0!</v>
      </c>
      <c r="R198" s="93" t="str">
        <f t="shared" si="9"/>
        <v>#DIV/0!</v>
      </c>
      <c r="S198" s="93" t="str">
        <f t="shared" si="10"/>
        <v>#DIV/0!</v>
      </c>
      <c r="T198" s="26"/>
      <c r="U198" s="26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</row>
    <row r="199">
      <c r="A199" s="26" t="s">
        <v>741</v>
      </c>
      <c r="B199" s="39" t="s">
        <v>661</v>
      </c>
      <c r="C199" s="26"/>
      <c r="D199" s="26"/>
      <c r="E199" s="26"/>
      <c r="F199" s="26"/>
      <c r="G199" s="105">
        <f t="shared" si="13"/>
        <v>0</v>
      </c>
      <c r="H199" s="26"/>
      <c r="I199" s="93" t="str">
        <f t="shared" si="2"/>
        <v>#DIV/0!</v>
      </c>
      <c r="J199" s="39"/>
      <c r="K199" s="39"/>
      <c r="L199" s="93" t="str">
        <f t="shared" si="4"/>
        <v>#DIV/0!</v>
      </c>
      <c r="M199" s="105">
        <v>0.0</v>
      </c>
      <c r="N199" s="26"/>
      <c r="O199" s="93" t="str">
        <f t="shared" si="6"/>
        <v>#DIV/0!</v>
      </c>
      <c r="P199" s="93" t="str">
        <f t="shared" si="7"/>
        <v>#DIV/0!</v>
      </c>
      <c r="Q199" s="93" t="str">
        <f t="shared" si="14"/>
        <v>#DIV/0!</v>
      </c>
      <c r="R199" s="93" t="str">
        <f t="shared" si="9"/>
        <v>#DIV/0!</v>
      </c>
      <c r="S199" s="93" t="str">
        <f t="shared" si="10"/>
        <v>#DIV/0!</v>
      </c>
      <c r="T199" s="26"/>
      <c r="U199" s="26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</row>
    <row r="200">
      <c r="A200" s="26" t="s">
        <v>742</v>
      </c>
      <c r="B200" s="39" t="s">
        <v>661</v>
      </c>
      <c r="C200" s="26"/>
      <c r="D200" s="26"/>
      <c r="E200" s="26"/>
      <c r="F200" s="26"/>
      <c r="G200" s="105">
        <f t="shared" si="13"/>
        <v>0</v>
      </c>
      <c r="H200" s="26"/>
      <c r="I200" s="93" t="str">
        <f t="shared" si="2"/>
        <v>#DIV/0!</v>
      </c>
      <c r="J200" s="39"/>
      <c r="K200" s="39"/>
      <c r="L200" s="93" t="str">
        <f t="shared" si="4"/>
        <v>#DIV/0!</v>
      </c>
      <c r="M200" s="105">
        <v>0.0</v>
      </c>
      <c r="N200" s="26"/>
      <c r="O200" s="93" t="str">
        <f t="shared" si="6"/>
        <v>#DIV/0!</v>
      </c>
      <c r="P200" s="93" t="str">
        <f t="shared" si="7"/>
        <v>#DIV/0!</v>
      </c>
      <c r="Q200" s="93" t="str">
        <f t="shared" si="14"/>
        <v>#DIV/0!</v>
      </c>
      <c r="R200" s="93" t="str">
        <f t="shared" si="9"/>
        <v>#DIV/0!</v>
      </c>
      <c r="S200" s="93" t="str">
        <f t="shared" si="10"/>
        <v>#DIV/0!</v>
      </c>
      <c r="T200" s="26"/>
      <c r="U200" s="26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</row>
    <row r="201">
      <c r="A201" s="26" t="s">
        <v>743</v>
      </c>
      <c r="B201" s="39" t="s">
        <v>661</v>
      </c>
      <c r="C201" s="26"/>
      <c r="D201" s="26"/>
      <c r="E201" s="26"/>
      <c r="F201" s="26"/>
      <c r="G201" s="105">
        <f t="shared" si="13"/>
        <v>0</v>
      </c>
      <c r="H201" s="26"/>
      <c r="I201" s="93" t="str">
        <f t="shared" si="2"/>
        <v>#DIV/0!</v>
      </c>
      <c r="J201" s="39"/>
      <c r="K201" s="39"/>
      <c r="L201" s="93" t="str">
        <f t="shared" si="4"/>
        <v>#DIV/0!</v>
      </c>
      <c r="M201" s="105">
        <v>0.0</v>
      </c>
      <c r="N201" s="26"/>
      <c r="O201" s="93" t="str">
        <f t="shared" si="6"/>
        <v>#DIV/0!</v>
      </c>
      <c r="P201" s="93" t="str">
        <f t="shared" si="7"/>
        <v>#DIV/0!</v>
      </c>
      <c r="Q201" s="93" t="str">
        <f t="shared" si="14"/>
        <v>#DIV/0!</v>
      </c>
      <c r="R201" s="93" t="str">
        <f t="shared" si="9"/>
        <v>#DIV/0!</v>
      </c>
      <c r="S201" s="93" t="str">
        <f t="shared" si="10"/>
        <v>#DIV/0!</v>
      </c>
      <c r="T201" s="26"/>
      <c r="U201" s="26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</row>
    <row r="202">
      <c r="A202" s="26" t="s">
        <v>744</v>
      </c>
      <c r="B202" s="39" t="s">
        <v>661</v>
      </c>
      <c r="C202" s="26"/>
      <c r="D202" s="26"/>
      <c r="E202" s="26"/>
      <c r="F202" s="26"/>
      <c r="G202" s="105">
        <f t="shared" si="13"/>
        <v>0</v>
      </c>
      <c r="H202" s="26"/>
      <c r="I202" s="93" t="str">
        <f t="shared" si="2"/>
        <v>#DIV/0!</v>
      </c>
      <c r="J202" s="39"/>
      <c r="K202" s="39"/>
      <c r="L202" s="93" t="str">
        <f t="shared" si="4"/>
        <v>#DIV/0!</v>
      </c>
      <c r="M202" s="105">
        <v>0.0</v>
      </c>
      <c r="N202" s="26"/>
      <c r="O202" s="93" t="str">
        <f t="shared" si="6"/>
        <v>#DIV/0!</v>
      </c>
      <c r="P202" s="93" t="str">
        <f t="shared" si="7"/>
        <v>#DIV/0!</v>
      </c>
      <c r="Q202" s="93" t="str">
        <f t="shared" si="14"/>
        <v>#DIV/0!</v>
      </c>
      <c r="R202" s="93" t="str">
        <f t="shared" si="9"/>
        <v>#DIV/0!</v>
      </c>
      <c r="S202" s="93" t="str">
        <f t="shared" si="10"/>
        <v>#DIV/0!</v>
      </c>
      <c r="T202" s="26"/>
      <c r="U202" s="26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</row>
    <row r="203">
      <c r="A203" s="26" t="s">
        <v>745</v>
      </c>
      <c r="B203" s="39" t="s">
        <v>661</v>
      </c>
      <c r="C203" s="26"/>
      <c r="D203" s="26"/>
      <c r="E203" s="26"/>
      <c r="F203" s="26"/>
      <c r="G203" s="105">
        <f t="shared" si="13"/>
        <v>0</v>
      </c>
      <c r="H203" s="26"/>
      <c r="I203" s="93" t="str">
        <f t="shared" si="2"/>
        <v>#DIV/0!</v>
      </c>
      <c r="J203" s="39"/>
      <c r="K203" s="39"/>
      <c r="L203" s="93" t="str">
        <f t="shared" si="4"/>
        <v>#DIV/0!</v>
      </c>
      <c r="M203" s="105">
        <v>0.0</v>
      </c>
      <c r="N203" s="26"/>
      <c r="O203" s="93" t="str">
        <f t="shared" si="6"/>
        <v>#DIV/0!</v>
      </c>
      <c r="P203" s="93" t="str">
        <f t="shared" si="7"/>
        <v>#DIV/0!</v>
      </c>
      <c r="Q203" s="93" t="str">
        <f t="shared" si="14"/>
        <v>#DIV/0!</v>
      </c>
      <c r="R203" s="93" t="str">
        <f t="shared" si="9"/>
        <v>#DIV/0!</v>
      </c>
      <c r="S203" s="93" t="str">
        <f t="shared" si="10"/>
        <v>#DIV/0!</v>
      </c>
      <c r="T203" s="26"/>
      <c r="U203" s="26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</row>
    <row r="204">
      <c r="A204" s="26" t="s">
        <v>746</v>
      </c>
      <c r="B204" s="39" t="s">
        <v>661</v>
      </c>
      <c r="C204" s="26"/>
      <c r="D204" s="26"/>
      <c r="E204" s="26"/>
      <c r="F204" s="26"/>
      <c r="G204" s="105">
        <f t="shared" si="13"/>
        <v>0</v>
      </c>
      <c r="H204" s="26"/>
      <c r="I204" s="93" t="str">
        <f t="shared" si="2"/>
        <v>#DIV/0!</v>
      </c>
      <c r="J204" s="39"/>
      <c r="K204" s="39"/>
      <c r="L204" s="93" t="str">
        <f t="shared" si="4"/>
        <v>#DIV/0!</v>
      </c>
      <c r="M204" s="105">
        <v>0.0</v>
      </c>
      <c r="N204" s="26"/>
      <c r="O204" s="93" t="str">
        <f t="shared" si="6"/>
        <v>#DIV/0!</v>
      </c>
      <c r="P204" s="93" t="str">
        <f t="shared" si="7"/>
        <v>#DIV/0!</v>
      </c>
      <c r="Q204" s="93" t="str">
        <f t="shared" si="14"/>
        <v>#DIV/0!</v>
      </c>
      <c r="R204" s="93" t="str">
        <f t="shared" si="9"/>
        <v>#DIV/0!</v>
      </c>
      <c r="S204" s="93" t="str">
        <f t="shared" si="10"/>
        <v>#DIV/0!</v>
      </c>
      <c r="T204" s="26"/>
      <c r="U204" s="26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</row>
    <row r="205">
      <c r="A205" s="26" t="s">
        <v>747</v>
      </c>
      <c r="B205" s="39" t="s">
        <v>661</v>
      </c>
      <c r="C205" s="26"/>
      <c r="D205" s="26"/>
      <c r="E205" s="26"/>
      <c r="F205" s="26"/>
      <c r="G205" s="105">
        <f t="shared" si="13"/>
        <v>0</v>
      </c>
      <c r="H205" s="26"/>
      <c r="I205" s="93" t="str">
        <f t="shared" si="2"/>
        <v>#DIV/0!</v>
      </c>
      <c r="J205" s="39"/>
      <c r="K205" s="39"/>
      <c r="L205" s="93" t="str">
        <f t="shared" si="4"/>
        <v>#DIV/0!</v>
      </c>
      <c r="M205" s="105">
        <v>0.0</v>
      </c>
      <c r="N205" s="26"/>
      <c r="O205" s="93" t="str">
        <f t="shared" si="6"/>
        <v>#DIV/0!</v>
      </c>
      <c r="P205" s="93" t="str">
        <f t="shared" si="7"/>
        <v>#DIV/0!</v>
      </c>
      <c r="Q205" s="93" t="str">
        <f t="shared" si="14"/>
        <v>#DIV/0!</v>
      </c>
      <c r="R205" s="93" t="str">
        <f t="shared" si="9"/>
        <v>#DIV/0!</v>
      </c>
      <c r="S205" s="93" t="str">
        <f t="shared" si="10"/>
        <v>#DIV/0!</v>
      </c>
      <c r="T205" s="26"/>
      <c r="U205" s="26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</row>
    <row r="206">
      <c r="A206" s="26" t="s">
        <v>748</v>
      </c>
      <c r="B206" s="39" t="s">
        <v>661</v>
      </c>
      <c r="C206" s="26"/>
      <c r="D206" s="26"/>
      <c r="E206" s="26"/>
      <c r="F206" s="26"/>
      <c r="G206" s="105">
        <f t="shared" si="13"/>
        <v>0</v>
      </c>
      <c r="H206" s="26"/>
      <c r="I206" s="93" t="str">
        <f t="shared" si="2"/>
        <v>#DIV/0!</v>
      </c>
      <c r="J206" s="39"/>
      <c r="K206" s="39"/>
      <c r="L206" s="93" t="str">
        <f t="shared" si="4"/>
        <v>#DIV/0!</v>
      </c>
      <c r="M206" s="105">
        <v>0.0</v>
      </c>
      <c r="N206" s="26"/>
      <c r="O206" s="93" t="str">
        <f t="shared" si="6"/>
        <v>#DIV/0!</v>
      </c>
      <c r="P206" s="93" t="str">
        <f t="shared" si="7"/>
        <v>#DIV/0!</v>
      </c>
      <c r="Q206" s="93" t="str">
        <f t="shared" si="14"/>
        <v>#DIV/0!</v>
      </c>
      <c r="R206" s="93" t="str">
        <f t="shared" si="9"/>
        <v>#DIV/0!</v>
      </c>
      <c r="S206" s="93" t="str">
        <f t="shared" si="10"/>
        <v>#DIV/0!</v>
      </c>
      <c r="T206" s="26"/>
      <c r="U206" s="26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</row>
    <row r="207">
      <c r="A207" s="26" t="s">
        <v>749</v>
      </c>
      <c r="B207" s="39" t="s">
        <v>661</v>
      </c>
      <c r="C207" s="26"/>
      <c r="D207" s="26"/>
      <c r="E207" s="26"/>
      <c r="F207" s="26"/>
      <c r="G207" s="105">
        <f t="shared" si="13"/>
        <v>0</v>
      </c>
      <c r="H207" s="26"/>
      <c r="I207" s="93" t="str">
        <f t="shared" si="2"/>
        <v>#DIV/0!</v>
      </c>
      <c r="J207" s="39"/>
      <c r="K207" s="39"/>
      <c r="L207" s="93" t="str">
        <f t="shared" si="4"/>
        <v>#DIV/0!</v>
      </c>
      <c r="M207" s="105">
        <v>0.0</v>
      </c>
      <c r="N207" s="26"/>
      <c r="O207" s="93" t="str">
        <f t="shared" si="6"/>
        <v>#DIV/0!</v>
      </c>
      <c r="P207" s="93" t="str">
        <f t="shared" si="7"/>
        <v>#DIV/0!</v>
      </c>
      <c r="Q207" s="93" t="str">
        <f t="shared" si="14"/>
        <v>#DIV/0!</v>
      </c>
      <c r="R207" s="93" t="str">
        <f t="shared" si="9"/>
        <v>#DIV/0!</v>
      </c>
      <c r="S207" s="93" t="str">
        <f t="shared" si="10"/>
        <v>#DIV/0!</v>
      </c>
      <c r="T207" s="26"/>
      <c r="U207" s="26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</row>
    <row r="208">
      <c r="A208" s="26" t="s">
        <v>750</v>
      </c>
      <c r="B208" s="39" t="s">
        <v>661</v>
      </c>
      <c r="C208" s="26"/>
      <c r="D208" s="26"/>
      <c r="E208" s="26"/>
      <c r="F208" s="26"/>
      <c r="G208" s="105">
        <f t="shared" si="13"/>
        <v>0</v>
      </c>
      <c r="H208" s="26"/>
      <c r="I208" s="93" t="str">
        <f t="shared" si="2"/>
        <v>#DIV/0!</v>
      </c>
      <c r="J208" s="39"/>
      <c r="K208" s="39"/>
      <c r="L208" s="93" t="str">
        <f t="shared" si="4"/>
        <v>#DIV/0!</v>
      </c>
      <c r="M208" s="105">
        <v>0.0</v>
      </c>
      <c r="N208" s="26"/>
      <c r="O208" s="93" t="str">
        <f t="shared" si="6"/>
        <v>#DIV/0!</v>
      </c>
      <c r="P208" s="93" t="str">
        <f t="shared" si="7"/>
        <v>#DIV/0!</v>
      </c>
      <c r="Q208" s="93" t="str">
        <f t="shared" si="14"/>
        <v>#DIV/0!</v>
      </c>
      <c r="R208" s="93" t="str">
        <f t="shared" si="9"/>
        <v>#DIV/0!</v>
      </c>
      <c r="S208" s="93" t="str">
        <f t="shared" si="10"/>
        <v>#DIV/0!</v>
      </c>
      <c r="T208" s="26"/>
      <c r="U208" s="26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</row>
    <row r="209">
      <c r="A209" s="26" t="s">
        <v>751</v>
      </c>
      <c r="B209" s="39" t="s">
        <v>661</v>
      </c>
      <c r="C209" s="26"/>
      <c r="D209" s="26"/>
      <c r="E209" s="26"/>
      <c r="F209" s="26"/>
      <c r="G209" s="105">
        <f t="shared" si="13"/>
        <v>0</v>
      </c>
      <c r="H209" s="26"/>
      <c r="I209" s="93" t="str">
        <f t="shared" si="2"/>
        <v>#DIV/0!</v>
      </c>
      <c r="J209" s="39"/>
      <c r="K209" s="39"/>
      <c r="L209" s="93" t="str">
        <f t="shared" si="4"/>
        <v>#DIV/0!</v>
      </c>
      <c r="M209" s="105">
        <v>0.0</v>
      </c>
      <c r="N209" s="26"/>
      <c r="O209" s="93" t="str">
        <f t="shared" si="6"/>
        <v>#DIV/0!</v>
      </c>
      <c r="P209" s="93" t="str">
        <f t="shared" si="7"/>
        <v>#DIV/0!</v>
      </c>
      <c r="Q209" s="93" t="str">
        <f t="shared" si="14"/>
        <v>#DIV/0!</v>
      </c>
      <c r="R209" s="93" t="str">
        <f t="shared" si="9"/>
        <v>#DIV/0!</v>
      </c>
      <c r="S209" s="93" t="str">
        <f t="shared" si="10"/>
        <v>#DIV/0!</v>
      </c>
      <c r="T209" s="26"/>
      <c r="U209" s="26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</row>
    <row r="210">
      <c r="A210" s="26" t="s">
        <v>752</v>
      </c>
      <c r="B210" s="39" t="s">
        <v>661</v>
      </c>
      <c r="C210" s="26"/>
      <c r="D210" s="26"/>
      <c r="E210" s="26"/>
      <c r="F210" s="26"/>
      <c r="G210" s="105">
        <f t="shared" si="13"/>
        <v>0</v>
      </c>
      <c r="H210" s="26"/>
      <c r="I210" s="93" t="str">
        <f t="shared" si="2"/>
        <v>#DIV/0!</v>
      </c>
      <c r="J210" s="39"/>
      <c r="K210" s="39"/>
      <c r="L210" s="93" t="str">
        <f t="shared" si="4"/>
        <v>#DIV/0!</v>
      </c>
      <c r="M210" s="105">
        <v>0.0</v>
      </c>
      <c r="N210" s="26"/>
      <c r="O210" s="93" t="str">
        <f t="shared" si="6"/>
        <v>#DIV/0!</v>
      </c>
      <c r="P210" s="93" t="str">
        <f t="shared" si="7"/>
        <v>#DIV/0!</v>
      </c>
      <c r="Q210" s="93" t="str">
        <f t="shared" si="14"/>
        <v>#DIV/0!</v>
      </c>
      <c r="R210" s="93" t="str">
        <f t="shared" si="9"/>
        <v>#DIV/0!</v>
      </c>
      <c r="S210" s="93" t="str">
        <f t="shared" si="10"/>
        <v>#DIV/0!</v>
      </c>
      <c r="T210" s="26"/>
      <c r="U210" s="26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</row>
    <row r="211">
      <c r="A211" s="26" t="s">
        <v>753</v>
      </c>
      <c r="B211" s="39" t="s">
        <v>661</v>
      </c>
      <c r="C211" s="26"/>
      <c r="D211" s="26"/>
      <c r="E211" s="26"/>
      <c r="F211" s="26"/>
      <c r="G211" s="105">
        <f t="shared" si="13"/>
        <v>0</v>
      </c>
      <c r="H211" s="26"/>
      <c r="I211" s="93" t="str">
        <f t="shared" si="2"/>
        <v>#DIV/0!</v>
      </c>
      <c r="J211" s="39"/>
      <c r="K211" s="39"/>
      <c r="L211" s="93" t="str">
        <f t="shared" si="4"/>
        <v>#DIV/0!</v>
      </c>
      <c r="M211" s="105">
        <v>0.0</v>
      </c>
      <c r="N211" s="26"/>
      <c r="O211" s="93" t="str">
        <f t="shared" si="6"/>
        <v>#DIV/0!</v>
      </c>
      <c r="P211" s="93" t="str">
        <f t="shared" si="7"/>
        <v>#DIV/0!</v>
      </c>
      <c r="Q211" s="93" t="str">
        <f t="shared" si="14"/>
        <v>#DIV/0!</v>
      </c>
      <c r="R211" s="93" t="str">
        <f t="shared" si="9"/>
        <v>#DIV/0!</v>
      </c>
      <c r="S211" s="93" t="str">
        <f t="shared" si="10"/>
        <v>#DIV/0!</v>
      </c>
      <c r="T211" s="26"/>
      <c r="U211" s="26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</row>
    <row r="212">
      <c r="A212" s="26" t="s">
        <v>754</v>
      </c>
      <c r="B212" s="39" t="s">
        <v>661</v>
      </c>
      <c r="C212" s="26"/>
      <c r="D212" s="26"/>
      <c r="E212" s="26"/>
      <c r="F212" s="26"/>
      <c r="G212" s="105">
        <f t="shared" si="13"/>
        <v>0</v>
      </c>
      <c r="H212" s="26"/>
      <c r="I212" s="93" t="str">
        <f t="shared" si="2"/>
        <v>#DIV/0!</v>
      </c>
      <c r="J212" s="39"/>
      <c r="K212" s="39"/>
      <c r="L212" s="93" t="str">
        <f t="shared" si="4"/>
        <v>#DIV/0!</v>
      </c>
      <c r="M212" s="105">
        <v>0.0</v>
      </c>
      <c r="N212" s="26"/>
      <c r="O212" s="93" t="str">
        <f t="shared" si="6"/>
        <v>#DIV/0!</v>
      </c>
      <c r="P212" s="93" t="str">
        <f t="shared" si="7"/>
        <v>#DIV/0!</v>
      </c>
      <c r="Q212" s="93" t="str">
        <f t="shared" si="14"/>
        <v>#DIV/0!</v>
      </c>
      <c r="R212" s="93" t="str">
        <f t="shared" si="9"/>
        <v>#DIV/0!</v>
      </c>
      <c r="S212" s="93" t="str">
        <f t="shared" si="10"/>
        <v>#DIV/0!</v>
      </c>
      <c r="T212" s="26"/>
      <c r="U212" s="26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</row>
    <row r="213">
      <c r="A213" s="26" t="s">
        <v>755</v>
      </c>
      <c r="B213" s="39" t="s">
        <v>661</v>
      </c>
      <c r="C213" s="26"/>
      <c r="D213" s="26"/>
      <c r="E213" s="26"/>
      <c r="F213" s="26"/>
      <c r="G213" s="105">
        <f t="shared" si="13"/>
        <v>0</v>
      </c>
      <c r="H213" s="26"/>
      <c r="I213" s="93" t="str">
        <f t="shared" si="2"/>
        <v>#DIV/0!</v>
      </c>
      <c r="J213" s="39"/>
      <c r="K213" s="39"/>
      <c r="L213" s="93" t="str">
        <f t="shared" si="4"/>
        <v>#DIV/0!</v>
      </c>
      <c r="M213" s="105">
        <v>0.0</v>
      </c>
      <c r="N213" s="26"/>
      <c r="O213" s="93" t="str">
        <f t="shared" si="6"/>
        <v>#DIV/0!</v>
      </c>
      <c r="P213" s="93" t="str">
        <f t="shared" si="7"/>
        <v>#DIV/0!</v>
      </c>
      <c r="Q213" s="93" t="str">
        <f t="shared" si="14"/>
        <v>#DIV/0!</v>
      </c>
      <c r="R213" s="93" t="str">
        <f t="shared" si="9"/>
        <v>#DIV/0!</v>
      </c>
      <c r="S213" s="93" t="str">
        <f t="shared" si="10"/>
        <v>#DIV/0!</v>
      </c>
      <c r="T213" s="26"/>
      <c r="U213" s="26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</row>
    <row r="214">
      <c r="A214" s="26" t="s">
        <v>756</v>
      </c>
      <c r="B214" s="39" t="s">
        <v>661</v>
      </c>
      <c r="C214" s="26"/>
      <c r="D214" s="26"/>
      <c r="E214" s="26"/>
      <c r="F214" s="26"/>
      <c r="G214" s="105">
        <f t="shared" si="13"/>
        <v>0</v>
      </c>
      <c r="H214" s="26"/>
      <c r="I214" s="93" t="str">
        <f t="shared" si="2"/>
        <v>#DIV/0!</v>
      </c>
      <c r="J214" s="39"/>
      <c r="K214" s="39"/>
      <c r="L214" s="93" t="str">
        <f t="shared" si="4"/>
        <v>#DIV/0!</v>
      </c>
      <c r="M214" s="105">
        <v>0.0</v>
      </c>
      <c r="N214" s="26"/>
      <c r="O214" s="93" t="str">
        <f t="shared" si="6"/>
        <v>#DIV/0!</v>
      </c>
      <c r="P214" s="93" t="str">
        <f t="shared" si="7"/>
        <v>#DIV/0!</v>
      </c>
      <c r="Q214" s="93" t="str">
        <f t="shared" si="14"/>
        <v>#DIV/0!</v>
      </c>
      <c r="R214" s="93" t="str">
        <f t="shared" si="9"/>
        <v>#DIV/0!</v>
      </c>
      <c r="S214" s="93" t="str">
        <f t="shared" si="10"/>
        <v>#DIV/0!</v>
      </c>
      <c r="T214" s="26"/>
      <c r="U214" s="26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</row>
    <row r="215">
      <c r="A215" s="26" t="s">
        <v>757</v>
      </c>
      <c r="B215" s="39" t="s">
        <v>661</v>
      </c>
      <c r="C215" s="26"/>
      <c r="D215" s="26"/>
      <c r="E215" s="26"/>
      <c r="F215" s="26"/>
      <c r="G215" s="105">
        <f t="shared" si="13"/>
        <v>0</v>
      </c>
      <c r="H215" s="26"/>
      <c r="I215" s="93" t="str">
        <f t="shared" si="2"/>
        <v>#DIV/0!</v>
      </c>
      <c r="J215" s="39"/>
      <c r="K215" s="39"/>
      <c r="L215" s="93" t="str">
        <f t="shared" si="4"/>
        <v>#DIV/0!</v>
      </c>
      <c r="M215" s="105">
        <v>0.0</v>
      </c>
      <c r="N215" s="26"/>
      <c r="O215" s="93" t="str">
        <f t="shared" si="6"/>
        <v>#DIV/0!</v>
      </c>
      <c r="P215" s="93" t="str">
        <f t="shared" si="7"/>
        <v>#DIV/0!</v>
      </c>
      <c r="Q215" s="93" t="str">
        <f t="shared" si="14"/>
        <v>#DIV/0!</v>
      </c>
      <c r="R215" s="93" t="str">
        <f t="shared" si="9"/>
        <v>#DIV/0!</v>
      </c>
      <c r="S215" s="93" t="str">
        <f t="shared" si="10"/>
        <v>#DIV/0!</v>
      </c>
      <c r="T215" s="26"/>
      <c r="U215" s="26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</row>
    <row r="216">
      <c r="A216" s="26" t="s">
        <v>758</v>
      </c>
      <c r="B216" s="39" t="s">
        <v>661</v>
      </c>
      <c r="C216" s="26"/>
      <c r="D216" s="26"/>
      <c r="E216" s="26"/>
      <c r="F216" s="26"/>
      <c r="G216" s="105">
        <f t="shared" si="13"/>
        <v>0</v>
      </c>
      <c r="H216" s="26"/>
      <c r="I216" s="93" t="str">
        <f t="shared" si="2"/>
        <v>#DIV/0!</v>
      </c>
      <c r="J216" s="39"/>
      <c r="K216" s="39"/>
      <c r="L216" s="93" t="str">
        <f t="shared" si="4"/>
        <v>#DIV/0!</v>
      </c>
      <c r="M216" s="105">
        <v>0.0</v>
      </c>
      <c r="N216" s="26"/>
      <c r="O216" s="93" t="str">
        <f t="shared" si="6"/>
        <v>#DIV/0!</v>
      </c>
      <c r="P216" s="93" t="str">
        <f t="shared" si="7"/>
        <v>#DIV/0!</v>
      </c>
      <c r="Q216" s="93" t="str">
        <f t="shared" si="14"/>
        <v>#DIV/0!</v>
      </c>
      <c r="R216" s="93" t="str">
        <f t="shared" si="9"/>
        <v>#DIV/0!</v>
      </c>
      <c r="S216" s="93" t="str">
        <f t="shared" si="10"/>
        <v>#DIV/0!</v>
      </c>
      <c r="T216" s="26"/>
      <c r="U216" s="26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</row>
    <row r="217">
      <c r="A217" s="26" t="s">
        <v>759</v>
      </c>
      <c r="B217" s="39" t="s">
        <v>661</v>
      </c>
      <c r="C217" s="26"/>
      <c r="D217" s="26"/>
      <c r="E217" s="26"/>
      <c r="F217" s="26"/>
      <c r="G217" s="105">
        <f t="shared" si="13"/>
        <v>0</v>
      </c>
      <c r="H217" s="26"/>
      <c r="I217" s="93" t="str">
        <f t="shared" si="2"/>
        <v>#DIV/0!</v>
      </c>
      <c r="J217" s="39"/>
      <c r="K217" s="39"/>
      <c r="L217" s="93" t="str">
        <f t="shared" si="4"/>
        <v>#DIV/0!</v>
      </c>
      <c r="M217" s="105">
        <v>0.0</v>
      </c>
      <c r="N217" s="26"/>
      <c r="O217" s="93" t="str">
        <f t="shared" si="6"/>
        <v>#DIV/0!</v>
      </c>
      <c r="P217" s="93" t="str">
        <f t="shared" si="7"/>
        <v>#DIV/0!</v>
      </c>
      <c r="Q217" s="93" t="str">
        <f t="shared" si="14"/>
        <v>#DIV/0!</v>
      </c>
      <c r="R217" s="93" t="str">
        <f t="shared" si="9"/>
        <v>#DIV/0!</v>
      </c>
      <c r="S217" s="93" t="str">
        <f t="shared" si="10"/>
        <v>#DIV/0!</v>
      </c>
      <c r="T217" s="26"/>
      <c r="U217" s="26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</row>
    <row r="218">
      <c r="A218" s="26" t="s">
        <v>760</v>
      </c>
      <c r="B218" s="39" t="s">
        <v>661</v>
      </c>
      <c r="C218" s="26"/>
      <c r="D218" s="26"/>
      <c r="E218" s="26"/>
      <c r="F218" s="26"/>
      <c r="G218" s="105">
        <f t="shared" si="13"/>
        <v>0</v>
      </c>
      <c r="H218" s="26"/>
      <c r="I218" s="93" t="str">
        <f t="shared" si="2"/>
        <v>#DIV/0!</v>
      </c>
      <c r="J218" s="39"/>
      <c r="K218" s="39"/>
      <c r="L218" s="93" t="str">
        <f t="shared" si="4"/>
        <v>#DIV/0!</v>
      </c>
      <c r="M218" s="105">
        <v>0.0</v>
      </c>
      <c r="N218" s="26"/>
      <c r="O218" s="93" t="str">
        <f t="shared" si="6"/>
        <v>#DIV/0!</v>
      </c>
      <c r="P218" s="93" t="str">
        <f t="shared" si="7"/>
        <v>#DIV/0!</v>
      </c>
      <c r="Q218" s="93" t="str">
        <f t="shared" si="14"/>
        <v>#DIV/0!</v>
      </c>
      <c r="R218" s="93" t="str">
        <f t="shared" si="9"/>
        <v>#DIV/0!</v>
      </c>
      <c r="S218" s="93" t="str">
        <f t="shared" si="10"/>
        <v>#DIV/0!</v>
      </c>
      <c r="T218" s="26"/>
      <c r="U218" s="26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</row>
    <row r="219">
      <c r="A219" s="26" t="s">
        <v>761</v>
      </c>
      <c r="B219" s="39" t="s">
        <v>661</v>
      </c>
      <c r="C219" s="26"/>
      <c r="D219" s="26"/>
      <c r="E219" s="26"/>
      <c r="F219" s="26"/>
      <c r="G219" s="105">
        <f t="shared" si="13"/>
        <v>0</v>
      </c>
      <c r="H219" s="26"/>
      <c r="I219" s="93" t="str">
        <f t="shared" si="2"/>
        <v>#DIV/0!</v>
      </c>
      <c r="J219" s="39"/>
      <c r="K219" s="39"/>
      <c r="L219" s="93" t="str">
        <f t="shared" si="4"/>
        <v>#DIV/0!</v>
      </c>
      <c r="M219" s="105">
        <v>0.0</v>
      </c>
      <c r="N219" s="26"/>
      <c r="O219" s="93" t="str">
        <f t="shared" si="6"/>
        <v>#DIV/0!</v>
      </c>
      <c r="P219" s="93" t="str">
        <f t="shared" si="7"/>
        <v>#DIV/0!</v>
      </c>
      <c r="Q219" s="93" t="str">
        <f t="shared" si="14"/>
        <v>#DIV/0!</v>
      </c>
      <c r="R219" s="93" t="str">
        <f t="shared" si="9"/>
        <v>#DIV/0!</v>
      </c>
      <c r="S219" s="93" t="str">
        <f t="shared" si="10"/>
        <v>#DIV/0!</v>
      </c>
      <c r="T219" s="26"/>
      <c r="U219" s="26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</row>
    <row r="220">
      <c r="A220" s="26" t="s">
        <v>762</v>
      </c>
      <c r="B220" s="39" t="s">
        <v>661</v>
      </c>
      <c r="C220" s="26"/>
      <c r="D220" s="26"/>
      <c r="E220" s="26"/>
      <c r="F220" s="26"/>
      <c r="G220" s="105">
        <f t="shared" si="13"/>
        <v>0</v>
      </c>
      <c r="H220" s="26"/>
      <c r="I220" s="93" t="str">
        <f t="shared" si="2"/>
        <v>#DIV/0!</v>
      </c>
      <c r="J220" s="39"/>
      <c r="K220" s="39"/>
      <c r="L220" s="93" t="str">
        <f t="shared" si="4"/>
        <v>#DIV/0!</v>
      </c>
      <c r="M220" s="105">
        <v>0.0</v>
      </c>
      <c r="N220" s="26"/>
      <c r="O220" s="93" t="str">
        <f t="shared" si="6"/>
        <v>#DIV/0!</v>
      </c>
      <c r="P220" s="93" t="str">
        <f t="shared" si="7"/>
        <v>#DIV/0!</v>
      </c>
      <c r="Q220" s="93" t="str">
        <f t="shared" si="14"/>
        <v>#DIV/0!</v>
      </c>
      <c r="R220" s="93" t="str">
        <f t="shared" si="9"/>
        <v>#DIV/0!</v>
      </c>
      <c r="S220" s="93" t="str">
        <f t="shared" si="10"/>
        <v>#DIV/0!</v>
      </c>
      <c r="T220" s="26"/>
      <c r="U220" s="26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</row>
    <row r="221">
      <c r="A221" s="26" t="s">
        <v>763</v>
      </c>
      <c r="B221" s="39" t="s">
        <v>661</v>
      </c>
      <c r="C221" s="26"/>
      <c r="D221" s="26"/>
      <c r="E221" s="26"/>
      <c r="F221" s="26"/>
      <c r="G221" s="105">
        <f t="shared" si="13"/>
        <v>0</v>
      </c>
      <c r="H221" s="26"/>
      <c r="I221" s="93" t="str">
        <f t="shared" si="2"/>
        <v>#DIV/0!</v>
      </c>
      <c r="J221" s="39"/>
      <c r="K221" s="39"/>
      <c r="L221" s="93" t="str">
        <f t="shared" si="4"/>
        <v>#DIV/0!</v>
      </c>
      <c r="M221" s="105">
        <v>0.0</v>
      </c>
      <c r="N221" s="26"/>
      <c r="O221" s="93" t="str">
        <f t="shared" si="6"/>
        <v>#DIV/0!</v>
      </c>
      <c r="P221" s="93" t="str">
        <f t="shared" si="7"/>
        <v>#DIV/0!</v>
      </c>
      <c r="Q221" s="93" t="str">
        <f t="shared" si="14"/>
        <v>#DIV/0!</v>
      </c>
      <c r="R221" s="93" t="str">
        <f t="shared" si="9"/>
        <v>#DIV/0!</v>
      </c>
      <c r="S221" s="93" t="str">
        <f t="shared" si="10"/>
        <v>#DIV/0!</v>
      </c>
      <c r="T221" s="26"/>
      <c r="U221" s="26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</row>
    <row r="222">
      <c r="A222" s="26" t="s">
        <v>764</v>
      </c>
      <c r="B222" s="39" t="s">
        <v>661</v>
      </c>
      <c r="C222" s="26"/>
      <c r="D222" s="26"/>
      <c r="E222" s="26"/>
      <c r="F222" s="26"/>
      <c r="G222" s="105">
        <f t="shared" si="13"/>
        <v>0</v>
      </c>
      <c r="H222" s="26"/>
      <c r="I222" s="93" t="str">
        <f t="shared" si="2"/>
        <v>#DIV/0!</v>
      </c>
      <c r="J222" s="39"/>
      <c r="K222" s="39"/>
      <c r="L222" s="93" t="str">
        <f t="shared" si="4"/>
        <v>#DIV/0!</v>
      </c>
      <c r="M222" s="105">
        <v>0.0</v>
      </c>
      <c r="N222" s="26"/>
      <c r="O222" s="93" t="str">
        <f t="shared" si="6"/>
        <v>#DIV/0!</v>
      </c>
      <c r="P222" s="93" t="str">
        <f t="shared" si="7"/>
        <v>#DIV/0!</v>
      </c>
      <c r="Q222" s="93" t="str">
        <f t="shared" si="14"/>
        <v>#DIV/0!</v>
      </c>
      <c r="R222" s="93" t="str">
        <f t="shared" si="9"/>
        <v>#DIV/0!</v>
      </c>
      <c r="S222" s="93" t="str">
        <f t="shared" si="10"/>
        <v>#DIV/0!</v>
      </c>
      <c r="T222" s="26"/>
      <c r="U222" s="26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</row>
    <row r="223">
      <c r="A223" s="26" t="s">
        <v>765</v>
      </c>
      <c r="B223" s="39" t="s">
        <v>661</v>
      </c>
      <c r="C223" s="26"/>
      <c r="D223" s="26"/>
      <c r="E223" s="26"/>
      <c r="F223" s="26"/>
      <c r="G223" s="105">
        <f t="shared" si="13"/>
        <v>0</v>
      </c>
      <c r="H223" s="26"/>
      <c r="I223" s="93" t="str">
        <f t="shared" si="2"/>
        <v>#DIV/0!</v>
      </c>
      <c r="J223" s="39"/>
      <c r="K223" s="39"/>
      <c r="L223" s="93" t="str">
        <f t="shared" si="4"/>
        <v>#DIV/0!</v>
      </c>
      <c r="M223" s="105">
        <v>0.0</v>
      </c>
      <c r="N223" s="26"/>
      <c r="O223" s="93" t="str">
        <f t="shared" si="6"/>
        <v>#DIV/0!</v>
      </c>
      <c r="P223" s="93" t="str">
        <f t="shared" si="7"/>
        <v>#DIV/0!</v>
      </c>
      <c r="Q223" s="93" t="str">
        <f t="shared" si="14"/>
        <v>#DIV/0!</v>
      </c>
      <c r="R223" s="93" t="str">
        <f t="shared" si="9"/>
        <v>#DIV/0!</v>
      </c>
      <c r="S223" s="93" t="str">
        <f t="shared" si="10"/>
        <v>#DIV/0!</v>
      </c>
      <c r="T223" s="26"/>
      <c r="U223" s="26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</row>
    <row r="224">
      <c r="A224" s="26" t="s">
        <v>766</v>
      </c>
      <c r="B224" s="39" t="s">
        <v>661</v>
      </c>
      <c r="C224" s="26"/>
      <c r="D224" s="26"/>
      <c r="E224" s="26"/>
      <c r="F224" s="26"/>
      <c r="G224" s="105">
        <f t="shared" si="13"/>
        <v>0</v>
      </c>
      <c r="H224" s="26"/>
      <c r="I224" s="93" t="str">
        <f t="shared" si="2"/>
        <v>#DIV/0!</v>
      </c>
      <c r="J224" s="39"/>
      <c r="K224" s="39"/>
      <c r="L224" s="93" t="str">
        <f t="shared" si="4"/>
        <v>#DIV/0!</v>
      </c>
      <c r="M224" s="105">
        <v>0.0</v>
      </c>
      <c r="N224" s="26"/>
      <c r="O224" s="93" t="str">
        <f t="shared" si="6"/>
        <v>#DIV/0!</v>
      </c>
      <c r="P224" s="93" t="str">
        <f t="shared" si="7"/>
        <v>#DIV/0!</v>
      </c>
      <c r="Q224" s="93" t="str">
        <f t="shared" si="14"/>
        <v>#DIV/0!</v>
      </c>
      <c r="R224" s="93" t="str">
        <f t="shared" si="9"/>
        <v>#DIV/0!</v>
      </c>
      <c r="S224" s="93" t="str">
        <f t="shared" si="10"/>
        <v>#DIV/0!</v>
      </c>
      <c r="T224" s="26"/>
      <c r="U224" s="26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</row>
    <row r="225">
      <c r="A225" s="26" t="s">
        <v>767</v>
      </c>
      <c r="B225" s="39" t="s">
        <v>661</v>
      </c>
      <c r="C225" s="26"/>
      <c r="D225" s="26"/>
      <c r="E225" s="26"/>
      <c r="F225" s="26"/>
      <c r="G225" s="105">
        <f t="shared" si="13"/>
        <v>0</v>
      </c>
      <c r="H225" s="26"/>
      <c r="I225" s="93" t="str">
        <f t="shared" si="2"/>
        <v>#DIV/0!</v>
      </c>
      <c r="J225" s="39"/>
      <c r="K225" s="39"/>
      <c r="L225" s="93" t="str">
        <f t="shared" si="4"/>
        <v>#DIV/0!</v>
      </c>
      <c r="M225" s="105">
        <v>0.0</v>
      </c>
      <c r="N225" s="26"/>
      <c r="O225" s="93" t="str">
        <f t="shared" si="6"/>
        <v>#DIV/0!</v>
      </c>
      <c r="P225" s="93" t="str">
        <f t="shared" si="7"/>
        <v>#DIV/0!</v>
      </c>
      <c r="Q225" s="93" t="str">
        <f t="shared" si="14"/>
        <v>#DIV/0!</v>
      </c>
      <c r="R225" s="93" t="str">
        <f t="shared" si="9"/>
        <v>#DIV/0!</v>
      </c>
      <c r="S225" s="93" t="str">
        <f t="shared" si="10"/>
        <v>#DIV/0!</v>
      </c>
      <c r="T225" s="26"/>
      <c r="U225" s="26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</row>
    <row r="226">
      <c r="A226" s="26" t="s">
        <v>768</v>
      </c>
      <c r="B226" s="39" t="s">
        <v>661</v>
      </c>
      <c r="C226" s="26"/>
      <c r="D226" s="26"/>
      <c r="E226" s="26"/>
      <c r="F226" s="26"/>
      <c r="G226" s="105">
        <f t="shared" si="13"/>
        <v>0</v>
      </c>
      <c r="H226" s="26"/>
      <c r="I226" s="93" t="str">
        <f t="shared" si="2"/>
        <v>#DIV/0!</v>
      </c>
      <c r="J226" s="39"/>
      <c r="K226" s="39"/>
      <c r="L226" s="93" t="str">
        <f t="shared" si="4"/>
        <v>#DIV/0!</v>
      </c>
      <c r="M226" s="105">
        <v>0.0</v>
      </c>
      <c r="N226" s="26"/>
      <c r="O226" s="93" t="str">
        <f t="shared" si="6"/>
        <v>#DIV/0!</v>
      </c>
      <c r="P226" s="93" t="str">
        <f t="shared" si="7"/>
        <v>#DIV/0!</v>
      </c>
      <c r="Q226" s="93" t="str">
        <f t="shared" si="14"/>
        <v>#DIV/0!</v>
      </c>
      <c r="R226" s="93" t="str">
        <f t="shared" si="9"/>
        <v>#DIV/0!</v>
      </c>
      <c r="S226" s="93" t="str">
        <f t="shared" si="10"/>
        <v>#DIV/0!</v>
      </c>
      <c r="T226" s="26"/>
      <c r="U226" s="26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</row>
    <row r="227">
      <c r="A227" s="26" t="s">
        <v>769</v>
      </c>
      <c r="B227" s="39" t="s">
        <v>661</v>
      </c>
      <c r="C227" s="26"/>
      <c r="D227" s="26"/>
      <c r="E227" s="26"/>
      <c r="F227" s="26"/>
      <c r="G227" s="105">
        <f t="shared" si="13"/>
        <v>0</v>
      </c>
      <c r="H227" s="26"/>
      <c r="I227" s="93" t="str">
        <f t="shared" si="2"/>
        <v>#DIV/0!</v>
      </c>
      <c r="J227" s="39"/>
      <c r="K227" s="39"/>
      <c r="L227" s="93" t="str">
        <f t="shared" si="4"/>
        <v>#DIV/0!</v>
      </c>
      <c r="M227" s="105">
        <v>0.0</v>
      </c>
      <c r="N227" s="26"/>
      <c r="O227" s="93" t="str">
        <f t="shared" si="6"/>
        <v>#DIV/0!</v>
      </c>
      <c r="P227" s="93" t="str">
        <f t="shared" si="7"/>
        <v>#DIV/0!</v>
      </c>
      <c r="Q227" s="93" t="str">
        <f t="shared" si="14"/>
        <v>#DIV/0!</v>
      </c>
      <c r="R227" s="93" t="str">
        <f t="shared" si="9"/>
        <v>#DIV/0!</v>
      </c>
      <c r="S227" s="93" t="str">
        <f t="shared" si="10"/>
        <v>#DIV/0!</v>
      </c>
      <c r="T227" s="26"/>
      <c r="U227" s="26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</row>
    <row r="228">
      <c r="A228" s="26" t="s">
        <v>770</v>
      </c>
      <c r="B228" s="39" t="s">
        <v>661</v>
      </c>
      <c r="C228" s="26"/>
      <c r="D228" s="26"/>
      <c r="E228" s="26"/>
      <c r="F228" s="26"/>
      <c r="G228" s="105">
        <f t="shared" si="13"/>
        <v>0</v>
      </c>
      <c r="H228" s="26"/>
      <c r="I228" s="93" t="str">
        <f t="shared" si="2"/>
        <v>#DIV/0!</v>
      </c>
      <c r="J228" s="39"/>
      <c r="K228" s="39"/>
      <c r="L228" s="93" t="str">
        <f t="shared" si="4"/>
        <v>#DIV/0!</v>
      </c>
      <c r="M228" s="105">
        <v>0.0</v>
      </c>
      <c r="N228" s="26"/>
      <c r="O228" s="93" t="str">
        <f t="shared" si="6"/>
        <v>#DIV/0!</v>
      </c>
      <c r="P228" s="93" t="str">
        <f t="shared" si="7"/>
        <v>#DIV/0!</v>
      </c>
      <c r="Q228" s="93" t="str">
        <f t="shared" si="14"/>
        <v>#DIV/0!</v>
      </c>
      <c r="R228" s="93" t="str">
        <f t="shared" si="9"/>
        <v>#DIV/0!</v>
      </c>
      <c r="S228" s="93" t="str">
        <f t="shared" si="10"/>
        <v>#DIV/0!</v>
      </c>
      <c r="T228" s="26"/>
      <c r="U228" s="26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</row>
    <row r="229">
      <c r="A229" s="26" t="s">
        <v>771</v>
      </c>
      <c r="B229" s="39" t="s">
        <v>661</v>
      </c>
      <c r="C229" s="26"/>
      <c r="D229" s="26"/>
      <c r="E229" s="26"/>
      <c r="F229" s="26"/>
      <c r="G229" s="105">
        <f t="shared" si="13"/>
        <v>0</v>
      </c>
      <c r="H229" s="26"/>
      <c r="I229" s="93" t="str">
        <f t="shared" si="2"/>
        <v>#DIV/0!</v>
      </c>
      <c r="J229" s="39"/>
      <c r="K229" s="39"/>
      <c r="L229" s="93" t="str">
        <f t="shared" si="4"/>
        <v>#DIV/0!</v>
      </c>
      <c r="M229" s="105">
        <v>0.0</v>
      </c>
      <c r="N229" s="26"/>
      <c r="O229" s="93" t="str">
        <f t="shared" si="6"/>
        <v>#DIV/0!</v>
      </c>
      <c r="P229" s="93" t="str">
        <f t="shared" si="7"/>
        <v>#DIV/0!</v>
      </c>
      <c r="Q229" s="93" t="str">
        <f t="shared" si="14"/>
        <v>#DIV/0!</v>
      </c>
      <c r="R229" s="93" t="str">
        <f t="shared" si="9"/>
        <v>#DIV/0!</v>
      </c>
      <c r="S229" s="93" t="str">
        <f t="shared" si="10"/>
        <v>#DIV/0!</v>
      </c>
      <c r="T229" s="26"/>
      <c r="U229" s="26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</row>
    <row r="230">
      <c r="A230" s="26" t="s">
        <v>772</v>
      </c>
      <c r="B230" s="39" t="s">
        <v>661</v>
      </c>
      <c r="C230" s="26"/>
      <c r="D230" s="26"/>
      <c r="E230" s="26"/>
      <c r="F230" s="26"/>
      <c r="G230" s="105">
        <f t="shared" si="13"/>
        <v>0</v>
      </c>
      <c r="H230" s="26"/>
      <c r="I230" s="93" t="str">
        <f t="shared" si="2"/>
        <v>#DIV/0!</v>
      </c>
      <c r="J230" s="39"/>
      <c r="K230" s="39"/>
      <c r="L230" s="93" t="str">
        <f t="shared" si="4"/>
        <v>#DIV/0!</v>
      </c>
      <c r="M230" s="105">
        <v>0.0</v>
      </c>
      <c r="N230" s="26"/>
      <c r="O230" s="93" t="str">
        <f t="shared" si="6"/>
        <v>#DIV/0!</v>
      </c>
      <c r="P230" s="93" t="str">
        <f t="shared" si="7"/>
        <v>#DIV/0!</v>
      </c>
      <c r="Q230" s="93" t="str">
        <f t="shared" si="14"/>
        <v>#DIV/0!</v>
      </c>
      <c r="R230" s="93" t="str">
        <f t="shared" si="9"/>
        <v>#DIV/0!</v>
      </c>
      <c r="S230" s="93" t="str">
        <f t="shared" si="10"/>
        <v>#DIV/0!</v>
      </c>
      <c r="T230" s="26"/>
      <c r="U230" s="26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</row>
    <row r="231">
      <c r="A231" s="26" t="s">
        <v>773</v>
      </c>
      <c r="B231" s="39" t="s">
        <v>661</v>
      </c>
      <c r="C231" s="26"/>
      <c r="D231" s="26"/>
      <c r="E231" s="26"/>
      <c r="F231" s="26"/>
      <c r="G231" s="105">
        <f t="shared" si="13"/>
        <v>0</v>
      </c>
      <c r="H231" s="26"/>
      <c r="I231" s="93" t="str">
        <f t="shared" si="2"/>
        <v>#DIV/0!</v>
      </c>
      <c r="J231" s="39"/>
      <c r="K231" s="39"/>
      <c r="L231" s="93" t="str">
        <f t="shared" si="4"/>
        <v>#DIV/0!</v>
      </c>
      <c r="M231" s="105">
        <v>0.0</v>
      </c>
      <c r="N231" s="26"/>
      <c r="O231" s="93" t="str">
        <f t="shared" si="6"/>
        <v>#DIV/0!</v>
      </c>
      <c r="P231" s="93" t="str">
        <f t="shared" si="7"/>
        <v>#DIV/0!</v>
      </c>
      <c r="Q231" s="93" t="str">
        <f t="shared" si="14"/>
        <v>#DIV/0!</v>
      </c>
      <c r="R231" s="93" t="str">
        <f t="shared" si="9"/>
        <v>#DIV/0!</v>
      </c>
      <c r="S231" s="93" t="str">
        <f t="shared" si="10"/>
        <v>#DIV/0!</v>
      </c>
      <c r="T231" s="26"/>
      <c r="U231" s="26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</row>
    <row r="232">
      <c r="A232" s="26" t="s">
        <v>774</v>
      </c>
      <c r="B232" s="39" t="s">
        <v>661</v>
      </c>
      <c r="C232" s="26"/>
      <c r="D232" s="26"/>
      <c r="E232" s="26"/>
      <c r="F232" s="26"/>
      <c r="G232" s="105">
        <f t="shared" si="13"/>
        <v>0</v>
      </c>
      <c r="H232" s="26"/>
      <c r="I232" s="93" t="str">
        <f t="shared" si="2"/>
        <v>#DIV/0!</v>
      </c>
      <c r="J232" s="39"/>
      <c r="K232" s="39"/>
      <c r="L232" s="93" t="str">
        <f t="shared" si="4"/>
        <v>#DIV/0!</v>
      </c>
      <c r="M232" s="105">
        <v>0.0</v>
      </c>
      <c r="N232" s="26"/>
      <c r="O232" s="93" t="str">
        <f t="shared" si="6"/>
        <v>#DIV/0!</v>
      </c>
      <c r="P232" s="93" t="str">
        <f t="shared" si="7"/>
        <v>#DIV/0!</v>
      </c>
      <c r="Q232" s="93" t="str">
        <f t="shared" si="14"/>
        <v>#DIV/0!</v>
      </c>
      <c r="R232" s="93" t="str">
        <f t="shared" si="9"/>
        <v>#DIV/0!</v>
      </c>
      <c r="S232" s="93" t="str">
        <f t="shared" si="10"/>
        <v>#DIV/0!</v>
      </c>
      <c r="T232" s="26"/>
      <c r="U232" s="26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</row>
    <row r="233">
      <c r="A233" s="26" t="s">
        <v>775</v>
      </c>
      <c r="B233" s="39" t="s">
        <v>661</v>
      </c>
      <c r="C233" s="26"/>
      <c r="D233" s="26"/>
      <c r="E233" s="26"/>
      <c r="F233" s="26"/>
      <c r="G233" s="105">
        <f t="shared" si="13"/>
        <v>0</v>
      </c>
      <c r="H233" s="26"/>
      <c r="I233" s="93" t="str">
        <f t="shared" si="2"/>
        <v>#DIV/0!</v>
      </c>
      <c r="J233" s="39"/>
      <c r="K233" s="39"/>
      <c r="L233" s="93" t="str">
        <f t="shared" si="4"/>
        <v>#DIV/0!</v>
      </c>
      <c r="M233" s="105">
        <v>0.0</v>
      </c>
      <c r="N233" s="26"/>
      <c r="O233" s="93" t="str">
        <f t="shared" si="6"/>
        <v>#DIV/0!</v>
      </c>
      <c r="P233" s="93" t="str">
        <f t="shared" si="7"/>
        <v>#DIV/0!</v>
      </c>
      <c r="Q233" s="93" t="str">
        <f t="shared" si="14"/>
        <v>#DIV/0!</v>
      </c>
      <c r="R233" s="93" t="str">
        <f t="shared" si="9"/>
        <v>#DIV/0!</v>
      </c>
      <c r="S233" s="93" t="str">
        <f t="shared" si="10"/>
        <v>#DIV/0!</v>
      </c>
      <c r="T233" s="26"/>
      <c r="U233" s="26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</row>
    <row r="234">
      <c r="A234" s="26" t="s">
        <v>776</v>
      </c>
      <c r="B234" s="39" t="s">
        <v>661</v>
      </c>
      <c r="C234" s="26"/>
      <c r="D234" s="26"/>
      <c r="E234" s="26"/>
      <c r="F234" s="26"/>
      <c r="G234" s="105">
        <f t="shared" si="13"/>
        <v>0</v>
      </c>
      <c r="H234" s="26"/>
      <c r="I234" s="93" t="str">
        <f t="shared" si="2"/>
        <v>#DIV/0!</v>
      </c>
      <c r="J234" s="39"/>
      <c r="K234" s="39"/>
      <c r="L234" s="93" t="str">
        <f t="shared" si="4"/>
        <v>#DIV/0!</v>
      </c>
      <c r="M234" s="105">
        <v>0.0</v>
      </c>
      <c r="N234" s="26"/>
      <c r="O234" s="93" t="str">
        <f t="shared" si="6"/>
        <v>#DIV/0!</v>
      </c>
      <c r="P234" s="93" t="str">
        <f t="shared" si="7"/>
        <v>#DIV/0!</v>
      </c>
      <c r="Q234" s="93" t="str">
        <f t="shared" si="14"/>
        <v>#DIV/0!</v>
      </c>
      <c r="R234" s="93" t="str">
        <f t="shared" si="9"/>
        <v>#DIV/0!</v>
      </c>
      <c r="S234" s="93" t="str">
        <f t="shared" si="10"/>
        <v>#DIV/0!</v>
      </c>
      <c r="T234" s="26"/>
      <c r="U234" s="26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</row>
    <row r="235">
      <c r="A235" s="26" t="s">
        <v>777</v>
      </c>
      <c r="B235" s="39" t="s">
        <v>661</v>
      </c>
      <c r="C235" s="26"/>
      <c r="D235" s="26"/>
      <c r="E235" s="26"/>
      <c r="F235" s="26"/>
      <c r="G235" s="105">
        <f t="shared" si="13"/>
        <v>0</v>
      </c>
      <c r="H235" s="26"/>
      <c r="I235" s="93" t="str">
        <f t="shared" si="2"/>
        <v>#DIV/0!</v>
      </c>
      <c r="J235" s="39"/>
      <c r="K235" s="39"/>
      <c r="L235" s="93" t="str">
        <f t="shared" si="4"/>
        <v>#DIV/0!</v>
      </c>
      <c r="M235" s="105">
        <v>0.0</v>
      </c>
      <c r="N235" s="26"/>
      <c r="O235" s="93" t="str">
        <f t="shared" si="6"/>
        <v>#DIV/0!</v>
      </c>
      <c r="P235" s="93" t="str">
        <f t="shared" si="7"/>
        <v>#DIV/0!</v>
      </c>
      <c r="Q235" s="93" t="str">
        <f t="shared" si="14"/>
        <v>#DIV/0!</v>
      </c>
      <c r="R235" s="93" t="str">
        <f t="shared" si="9"/>
        <v>#DIV/0!</v>
      </c>
      <c r="S235" s="93" t="str">
        <f t="shared" si="10"/>
        <v>#DIV/0!</v>
      </c>
      <c r="T235" s="26"/>
      <c r="U235" s="26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</row>
    <row r="236">
      <c r="A236" s="26" t="s">
        <v>778</v>
      </c>
      <c r="B236" s="39" t="s">
        <v>661</v>
      </c>
      <c r="C236" s="26"/>
      <c r="D236" s="26"/>
      <c r="E236" s="26"/>
      <c r="F236" s="26"/>
      <c r="G236" s="105">
        <f t="shared" si="13"/>
        <v>0</v>
      </c>
      <c r="H236" s="26"/>
      <c r="I236" s="93" t="str">
        <f t="shared" si="2"/>
        <v>#DIV/0!</v>
      </c>
      <c r="J236" s="39"/>
      <c r="K236" s="39"/>
      <c r="L236" s="93" t="str">
        <f t="shared" si="4"/>
        <v>#DIV/0!</v>
      </c>
      <c r="M236" s="105">
        <v>0.0</v>
      </c>
      <c r="N236" s="26"/>
      <c r="O236" s="93" t="str">
        <f t="shared" si="6"/>
        <v>#DIV/0!</v>
      </c>
      <c r="P236" s="93" t="str">
        <f t="shared" si="7"/>
        <v>#DIV/0!</v>
      </c>
      <c r="Q236" s="93" t="str">
        <f t="shared" si="14"/>
        <v>#DIV/0!</v>
      </c>
      <c r="R236" s="93" t="str">
        <f t="shared" si="9"/>
        <v>#DIV/0!</v>
      </c>
      <c r="S236" s="93" t="str">
        <f t="shared" si="10"/>
        <v>#DIV/0!</v>
      </c>
      <c r="T236" s="26"/>
      <c r="U236" s="26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</row>
    <row r="237">
      <c r="A237" s="26" t="s">
        <v>779</v>
      </c>
      <c r="B237" s="39" t="s">
        <v>661</v>
      </c>
      <c r="C237" s="26"/>
      <c r="D237" s="26"/>
      <c r="E237" s="26"/>
      <c r="F237" s="26"/>
      <c r="G237" s="105">
        <f t="shared" si="13"/>
        <v>0</v>
      </c>
      <c r="H237" s="26"/>
      <c r="I237" s="93" t="str">
        <f t="shared" si="2"/>
        <v>#DIV/0!</v>
      </c>
      <c r="J237" s="39"/>
      <c r="K237" s="39"/>
      <c r="L237" s="93" t="str">
        <f t="shared" si="4"/>
        <v>#DIV/0!</v>
      </c>
      <c r="M237" s="105">
        <v>0.0</v>
      </c>
      <c r="N237" s="26"/>
      <c r="O237" s="93" t="str">
        <f t="shared" si="6"/>
        <v>#DIV/0!</v>
      </c>
      <c r="P237" s="93" t="str">
        <f t="shared" si="7"/>
        <v>#DIV/0!</v>
      </c>
      <c r="Q237" s="93" t="str">
        <f t="shared" si="14"/>
        <v>#DIV/0!</v>
      </c>
      <c r="R237" s="93" t="str">
        <f t="shared" si="9"/>
        <v>#DIV/0!</v>
      </c>
      <c r="S237" s="93" t="str">
        <f t="shared" si="10"/>
        <v>#DIV/0!</v>
      </c>
      <c r="T237" s="26"/>
      <c r="U237" s="26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</row>
    <row r="238">
      <c r="A238" s="26" t="s">
        <v>780</v>
      </c>
      <c r="B238" s="39" t="s">
        <v>661</v>
      </c>
      <c r="C238" s="26"/>
      <c r="D238" s="26"/>
      <c r="E238" s="26"/>
      <c r="F238" s="26"/>
      <c r="G238" s="105">
        <f t="shared" si="13"/>
        <v>0</v>
      </c>
      <c r="H238" s="26"/>
      <c r="I238" s="93" t="str">
        <f t="shared" si="2"/>
        <v>#DIV/0!</v>
      </c>
      <c r="J238" s="39"/>
      <c r="K238" s="39"/>
      <c r="L238" s="93" t="str">
        <f t="shared" si="4"/>
        <v>#DIV/0!</v>
      </c>
      <c r="M238" s="105">
        <v>0.0</v>
      </c>
      <c r="N238" s="26"/>
      <c r="O238" s="93" t="str">
        <f t="shared" si="6"/>
        <v>#DIV/0!</v>
      </c>
      <c r="P238" s="93" t="str">
        <f t="shared" si="7"/>
        <v>#DIV/0!</v>
      </c>
      <c r="Q238" s="93" t="str">
        <f t="shared" si="14"/>
        <v>#DIV/0!</v>
      </c>
      <c r="R238" s="93" t="str">
        <f t="shared" si="9"/>
        <v>#DIV/0!</v>
      </c>
      <c r="S238" s="93" t="str">
        <f t="shared" si="10"/>
        <v>#DIV/0!</v>
      </c>
      <c r="T238" s="26"/>
      <c r="U238" s="26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</row>
    <row r="239">
      <c r="A239" s="26" t="s">
        <v>781</v>
      </c>
      <c r="B239" s="39" t="s">
        <v>661</v>
      </c>
      <c r="C239" s="26"/>
      <c r="D239" s="26"/>
      <c r="E239" s="26"/>
      <c r="F239" s="26"/>
      <c r="G239" s="105">
        <f t="shared" si="13"/>
        <v>0</v>
      </c>
      <c r="H239" s="26"/>
      <c r="I239" s="93" t="str">
        <f t="shared" si="2"/>
        <v>#DIV/0!</v>
      </c>
      <c r="J239" s="39"/>
      <c r="K239" s="39"/>
      <c r="L239" s="93" t="str">
        <f t="shared" si="4"/>
        <v>#DIV/0!</v>
      </c>
      <c r="M239" s="105">
        <v>0.0</v>
      </c>
      <c r="N239" s="26"/>
      <c r="O239" s="93" t="str">
        <f t="shared" si="6"/>
        <v>#DIV/0!</v>
      </c>
      <c r="P239" s="93" t="str">
        <f t="shared" si="7"/>
        <v>#DIV/0!</v>
      </c>
      <c r="Q239" s="93" t="str">
        <f t="shared" si="14"/>
        <v>#DIV/0!</v>
      </c>
      <c r="R239" s="93" t="str">
        <f t="shared" si="9"/>
        <v>#DIV/0!</v>
      </c>
      <c r="S239" s="93" t="str">
        <f t="shared" si="10"/>
        <v>#DIV/0!</v>
      </c>
      <c r="T239" s="26"/>
      <c r="U239" s="26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</row>
    <row r="240">
      <c r="A240" s="26" t="s">
        <v>782</v>
      </c>
      <c r="B240" s="39" t="s">
        <v>661</v>
      </c>
      <c r="C240" s="26"/>
      <c r="D240" s="26"/>
      <c r="E240" s="26"/>
      <c r="F240" s="26"/>
      <c r="G240" s="105">
        <f t="shared" si="13"/>
        <v>0</v>
      </c>
      <c r="H240" s="26"/>
      <c r="I240" s="93" t="str">
        <f t="shared" si="2"/>
        <v>#DIV/0!</v>
      </c>
      <c r="J240" s="39"/>
      <c r="K240" s="39"/>
      <c r="L240" s="93" t="str">
        <f t="shared" si="4"/>
        <v>#DIV/0!</v>
      </c>
      <c r="M240" s="105">
        <v>0.0</v>
      </c>
      <c r="N240" s="26"/>
      <c r="O240" s="93" t="str">
        <f t="shared" si="6"/>
        <v>#DIV/0!</v>
      </c>
      <c r="P240" s="93" t="str">
        <f t="shared" si="7"/>
        <v>#DIV/0!</v>
      </c>
      <c r="Q240" s="93" t="str">
        <f t="shared" si="14"/>
        <v>#DIV/0!</v>
      </c>
      <c r="R240" s="93" t="str">
        <f t="shared" si="9"/>
        <v>#DIV/0!</v>
      </c>
      <c r="S240" s="93" t="str">
        <f t="shared" si="10"/>
        <v>#DIV/0!</v>
      </c>
      <c r="T240" s="26"/>
      <c r="U240" s="26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</row>
    <row r="241">
      <c r="A241" s="26" t="s">
        <v>783</v>
      </c>
      <c r="B241" s="39" t="s">
        <v>661</v>
      </c>
      <c r="C241" s="26"/>
      <c r="D241" s="26"/>
      <c r="E241" s="26"/>
      <c r="F241" s="26"/>
      <c r="G241" s="105">
        <f t="shared" si="13"/>
        <v>0</v>
      </c>
      <c r="H241" s="26"/>
      <c r="I241" s="93" t="str">
        <f t="shared" si="2"/>
        <v>#DIV/0!</v>
      </c>
      <c r="J241" s="39"/>
      <c r="K241" s="39"/>
      <c r="L241" s="93" t="str">
        <f t="shared" si="4"/>
        <v>#DIV/0!</v>
      </c>
      <c r="M241" s="105">
        <v>0.0</v>
      </c>
      <c r="N241" s="26"/>
      <c r="O241" s="93" t="str">
        <f t="shared" si="6"/>
        <v>#DIV/0!</v>
      </c>
      <c r="P241" s="93" t="str">
        <f t="shared" si="7"/>
        <v>#DIV/0!</v>
      </c>
      <c r="Q241" s="93" t="str">
        <f t="shared" si="14"/>
        <v>#DIV/0!</v>
      </c>
      <c r="R241" s="93" t="str">
        <f t="shared" si="9"/>
        <v>#DIV/0!</v>
      </c>
      <c r="S241" s="93" t="str">
        <f t="shared" si="10"/>
        <v>#DIV/0!</v>
      </c>
      <c r="T241" s="26"/>
      <c r="U241" s="26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</row>
    <row r="242">
      <c r="A242" s="26" t="s">
        <v>784</v>
      </c>
      <c r="B242" s="39" t="s">
        <v>661</v>
      </c>
      <c r="C242" s="26"/>
      <c r="D242" s="26"/>
      <c r="E242" s="26"/>
      <c r="F242" s="26"/>
      <c r="G242" s="105">
        <f t="shared" si="13"/>
        <v>0</v>
      </c>
      <c r="H242" s="26"/>
      <c r="I242" s="93" t="str">
        <f t="shared" si="2"/>
        <v>#DIV/0!</v>
      </c>
      <c r="J242" s="39"/>
      <c r="K242" s="39"/>
      <c r="L242" s="93" t="str">
        <f t="shared" si="4"/>
        <v>#DIV/0!</v>
      </c>
      <c r="M242" s="105">
        <v>0.0</v>
      </c>
      <c r="N242" s="26"/>
      <c r="O242" s="93" t="str">
        <f t="shared" si="6"/>
        <v>#DIV/0!</v>
      </c>
      <c r="P242" s="93" t="str">
        <f t="shared" si="7"/>
        <v>#DIV/0!</v>
      </c>
      <c r="Q242" s="93" t="str">
        <f t="shared" si="14"/>
        <v>#DIV/0!</v>
      </c>
      <c r="R242" s="93" t="str">
        <f t="shared" si="9"/>
        <v>#DIV/0!</v>
      </c>
      <c r="S242" s="93" t="str">
        <f t="shared" si="10"/>
        <v>#DIV/0!</v>
      </c>
      <c r="T242" s="26"/>
      <c r="U242" s="26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</row>
    <row r="243">
      <c r="A243" s="26" t="s">
        <v>785</v>
      </c>
      <c r="B243" s="39" t="s">
        <v>661</v>
      </c>
      <c r="C243" s="26"/>
      <c r="D243" s="26"/>
      <c r="E243" s="26"/>
      <c r="F243" s="26"/>
      <c r="G243" s="105">
        <f t="shared" si="13"/>
        <v>0</v>
      </c>
      <c r="H243" s="26"/>
      <c r="I243" s="93" t="str">
        <f t="shared" si="2"/>
        <v>#DIV/0!</v>
      </c>
      <c r="J243" s="39"/>
      <c r="K243" s="39"/>
      <c r="L243" s="93" t="str">
        <f t="shared" si="4"/>
        <v>#DIV/0!</v>
      </c>
      <c r="M243" s="105">
        <v>0.0</v>
      </c>
      <c r="N243" s="26"/>
      <c r="O243" s="93" t="str">
        <f t="shared" si="6"/>
        <v>#DIV/0!</v>
      </c>
      <c r="P243" s="93" t="str">
        <f t="shared" si="7"/>
        <v>#DIV/0!</v>
      </c>
      <c r="Q243" s="93" t="str">
        <f t="shared" si="14"/>
        <v>#DIV/0!</v>
      </c>
      <c r="R243" s="93" t="str">
        <f t="shared" si="9"/>
        <v>#DIV/0!</v>
      </c>
      <c r="S243" s="93" t="str">
        <f t="shared" si="10"/>
        <v>#DIV/0!</v>
      </c>
      <c r="T243" s="26"/>
      <c r="U243" s="26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</row>
    <row r="244">
      <c r="A244" s="26" t="s">
        <v>786</v>
      </c>
      <c r="B244" s="39" t="s">
        <v>661</v>
      </c>
      <c r="C244" s="26"/>
      <c r="D244" s="26"/>
      <c r="E244" s="26"/>
      <c r="F244" s="26"/>
      <c r="G244" s="105">
        <f t="shared" si="13"/>
        <v>0</v>
      </c>
      <c r="H244" s="26"/>
      <c r="I244" s="93" t="str">
        <f t="shared" si="2"/>
        <v>#DIV/0!</v>
      </c>
      <c r="J244" s="39"/>
      <c r="K244" s="39"/>
      <c r="L244" s="93" t="str">
        <f t="shared" si="4"/>
        <v>#DIV/0!</v>
      </c>
      <c r="M244" s="105">
        <v>0.0</v>
      </c>
      <c r="N244" s="26"/>
      <c r="O244" s="93" t="str">
        <f t="shared" si="6"/>
        <v>#DIV/0!</v>
      </c>
      <c r="P244" s="93" t="str">
        <f t="shared" si="7"/>
        <v>#DIV/0!</v>
      </c>
      <c r="Q244" s="93" t="str">
        <f t="shared" si="14"/>
        <v>#DIV/0!</v>
      </c>
      <c r="R244" s="93" t="str">
        <f t="shared" si="9"/>
        <v>#DIV/0!</v>
      </c>
      <c r="S244" s="93" t="str">
        <f t="shared" si="10"/>
        <v>#DIV/0!</v>
      </c>
      <c r="T244" s="26"/>
      <c r="U244" s="26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</row>
    <row r="245">
      <c r="A245" s="26" t="s">
        <v>787</v>
      </c>
      <c r="B245" s="39" t="s">
        <v>661</v>
      </c>
      <c r="C245" s="26"/>
      <c r="D245" s="26"/>
      <c r="E245" s="26"/>
      <c r="F245" s="26"/>
      <c r="G245" s="105">
        <f t="shared" si="13"/>
        <v>0</v>
      </c>
      <c r="H245" s="26"/>
      <c r="I245" s="93" t="str">
        <f t="shared" si="2"/>
        <v>#DIV/0!</v>
      </c>
      <c r="J245" s="39"/>
      <c r="K245" s="39"/>
      <c r="L245" s="93" t="str">
        <f t="shared" si="4"/>
        <v>#DIV/0!</v>
      </c>
      <c r="M245" s="105">
        <v>0.0</v>
      </c>
      <c r="N245" s="26"/>
      <c r="O245" s="93" t="str">
        <f t="shared" si="6"/>
        <v>#DIV/0!</v>
      </c>
      <c r="P245" s="93" t="str">
        <f t="shared" si="7"/>
        <v>#DIV/0!</v>
      </c>
      <c r="Q245" s="93" t="str">
        <f t="shared" si="14"/>
        <v>#DIV/0!</v>
      </c>
      <c r="R245" s="93" t="str">
        <f t="shared" si="9"/>
        <v>#DIV/0!</v>
      </c>
      <c r="S245" s="93" t="str">
        <f t="shared" si="10"/>
        <v>#DIV/0!</v>
      </c>
      <c r="T245" s="26"/>
      <c r="U245" s="26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</row>
    <row r="246">
      <c r="A246" s="26" t="s">
        <v>788</v>
      </c>
      <c r="B246" s="39" t="s">
        <v>661</v>
      </c>
      <c r="C246" s="26"/>
      <c r="D246" s="26"/>
      <c r="E246" s="26"/>
      <c r="F246" s="26"/>
      <c r="G246" s="105">
        <f t="shared" si="13"/>
        <v>0</v>
      </c>
      <c r="H246" s="26"/>
      <c r="I246" s="93" t="str">
        <f t="shared" si="2"/>
        <v>#DIV/0!</v>
      </c>
      <c r="J246" s="39"/>
      <c r="K246" s="39"/>
      <c r="L246" s="93" t="str">
        <f t="shared" si="4"/>
        <v>#DIV/0!</v>
      </c>
      <c r="M246" s="105">
        <v>0.0</v>
      </c>
      <c r="N246" s="26"/>
      <c r="O246" s="93" t="str">
        <f t="shared" si="6"/>
        <v>#DIV/0!</v>
      </c>
      <c r="P246" s="93" t="str">
        <f t="shared" si="7"/>
        <v>#DIV/0!</v>
      </c>
      <c r="Q246" s="93" t="str">
        <f t="shared" si="14"/>
        <v>#DIV/0!</v>
      </c>
      <c r="R246" s="93" t="str">
        <f t="shared" si="9"/>
        <v>#DIV/0!</v>
      </c>
      <c r="S246" s="93" t="str">
        <f t="shared" si="10"/>
        <v>#DIV/0!</v>
      </c>
      <c r="T246" s="26"/>
      <c r="U246" s="26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</row>
    <row r="247">
      <c r="A247" s="26" t="s">
        <v>789</v>
      </c>
      <c r="B247" s="39" t="s">
        <v>661</v>
      </c>
      <c r="C247" s="26"/>
      <c r="D247" s="26"/>
      <c r="E247" s="26"/>
      <c r="F247" s="26"/>
      <c r="G247" s="105">
        <f t="shared" si="13"/>
        <v>0</v>
      </c>
      <c r="H247" s="26"/>
      <c r="I247" s="93" t="str">
        <f t="shared" si="2"/>
        <v>#DIV/0!</v>
      </c>
      <c r="J247" s="39"/>
      <c r="K247" s="39"/>
      <c r="L247" s="93" t="str">
        <f t="shared" si="4"/>
        <v>#DIV/0!</v>
      </c>
      <c r="M247" s="105">
        <v>0.0</v>
      </c>
      <c r="N247" s="26"/>
      <c r="O247" s="93" t="str">
        <f t="shared" si="6"/>
        <v>#DIV/0!</v>
      </c>
      <c r="P247" s="93" t="str">
        <f t="shared" si="7"/>
        <v>#DIV/0!</v>
      </c>
      <c r="Q247" s="93" t="str">
        <f t="shared" si="14"/>
        <v>#DIV/0!</v>
      </c>
      <c r="R247" s="93" t="str">
        <f t="shared" si="9"/>
        <v>#DIV/0!</v>
      </c>
      <c r="S247" s="93" t="str">
        <f t="shared" si="10"/>
        <v>#DIV/0!</v>
      </c>
      <c r="T247" s="26"/>
      <c r="U247" s="26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</row>
    <row r="248">
      <c r="A248" s="26" t="s">
        <v>790</v>
      </c>
      <c r="B248" s="39" t="s">
        <v>661</v>
      </c>
      <c r="C248" s="26"/>
      <c r="D248" s="26"/>
      <c r="E248" s="26"/>
      <c r="F248" s="26"/>
      <c r="G248" s="105">
        <f t="shared" si="13"/>
        <v>0</v>
      </c>
      <c r="H248" s="26"/>
      <c r="I248" s="93" t="str">
        <f t="shared" si="2"/>
        <v>#DIV/0!</v>
      </c>
      <c r="J248" s="39"/>
      <c r="K248" s="39"/>
      <c r="L248" s="93" t="str">
        <f t="shared" si="4"/>
        <v>#DIV/0!</v>
      </c>
      <c r="M248" s="105">
        <v>0.0</v>
      </c>
      <c r="N248" s="26"/>
      <c r="O248" s="93" t="str">
        <f t="shared" si="6"/>
        <v>#DIV/0!</v>
      </c>
      <c r="P248" s="93" t="str">
        <f t="shared" si="7"/>
        <v>#DIV/0!</v>
      </c>
      <c r="Q248" s="93" t="str">
        <f t="shared" si="14"/>
        <v>#DIV/0!</v>
      </c>
      <c r="R248" s="93" t="str">
        <f t="shared" si="9"/>
        <v>#DIV/0!</v>
      </c>
      <c r="S248" s="93" t="str">
        <f t="shared" si="10"/>
        <v>#DIV/0!</v>
      </c>
      <c r="T248" s="26"/>
      <c r="U248" s="26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</row>
    <row r="249">
      <c r="A249" s="26" t="s">
        <v>791</v>
      </c>
      <c r="B249" s="39" t="s">
        <v>661</v>
      </c>
      <c r="C249" s="26"/>
      <c r="D249" s="26"/>
      <c r="E249" s="26"/>
      <c r="F249" s="26"/>
      <c r="G249" s="105">
        <f t="shared" si="13"/>
        <v>0</v>
      </c>
      <c r="H249" s="26"/>
      <c r="I249" s="93" t="str">
        <f t="shared" si="2"/>
        <v>#DIV/0!</v>
      </c>
      <c r="J249" s="39"/>
      <c r="K249" s="39"/>
      <c r="L249" s="93" t="str">
        <f t="shared" si="4"/>
        <v>#DIV/0!</v>
      </c>
      <c r="M249" s="105">
        <v>0.0</v>
      </c>
      <c r="N249" s="26"/>
      <c r="O249" s="93" t="str">
        <f t="shared" si="6"/>
        <v>#DIV/0!</v>
      </c>
      <c r="P249" s="93" t="str">
        <f t="shared" si="7"/>
        <v>#DIV/0!</v>
      </c>
      <c r="Q249" s="93" t="str">
        <f t="shared" si="14"/>
        <v>#DIV/0!</v>
      </c>
      <c r="R249" s="93" t="str">
        <f t="shared" si="9"/>
        <v>#DIV/0!</v>
      </c>
      <c r="S249" s="93" t="str">
        <f t="shared" si="10"/>
        <v>#DIV/0!</v>
      </c>
      <c r="T249" s="26"/>
      <c r="U249" s="26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</row>
    <row r="250">
      <c r="A250" s="26" t="s">
        <v>792</v>
      </c>
      <c r="B250" s="39" t="s">
        <v>661</v>
      </c>
      <c r="C250" s="26"/>
      <c r="D250" s="26"/>
      <c r="E250" s="26"/>
      <c r="F250" s="26"/>
      <c r="G250" s="105">
        <f t="shared" si="13"/>
        <v>0</v>
      </c>
      <c r="H250" s="26"/>
      <c r="I250" s="93" t="str">
        <f t="shared" si="2"/>
        <v>#DIV/0!</v>
      </c>
      <c r="J250" s="39"/>
      <c r="K250" s="39"/>
      <c r="L250" s="93" t="str">
        <f t="shared" si="4"/>
        <v>#DIV/0!</v>
      </c>
      <c r="M250" s="105">
        <v>0.0</v>
      </c>
      <c r="N250" s="26"/>
      <c r="O250" s="93" t="str">
        <f t="shared" si="6"/>
        <v>#DIV/0!</v>
      </c>
      <c r="P250" s="93" t="str">
        <f t="shared" si="7"/>
        <v>#DIV/0!</v>
      </c>
      <c r="Q250" s="93" t="str">
        <f t="shared" si="14"/>
        <v>#DIV/0!</v>
      </c>
      <c r="R250" s="93" t="str">
        <f t="shared" si="9"/>
        <v>#DIV/0!</v>
      </c>
      <c r="S250" s="93" t="str">
        <f t="shared" si="10"/>
        <v>#DIV/0!</v>
      </c>
      <c r="T250" s="26"/>
      <c r="U250" s="26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</row>
    <row r="251">
      <c r="A251" s="26" t="s">
        <v>793</v>
      </c>
      <c r="B251" s="39" t="s">
        <v>661</v>
      </c>
      <c r="C251" s="26"/>
      <c r="D251" s="26"/>
      <c r="E251" s="26"/>
      <c r="F251" s="26"/>
      <c r="G251" s="105">
        <f t="shared" si="13"/>
        <v>0</v>
      </c>
      <c r="H251" s="26"/>
      <c r="I251" s="93" t="str">
        <f t="shared" si="2"/>
        <v>#DIV/0!</v>
      </c>
      <c r="J251" s="39"/>
      <c r="K251" s="39"/>
      <c r="L251" s="93" t="str">
        <f t="shared" si="4"/>
        <v>#DIV/0!</v>
      </c>
      <c r="M251" s="105">
        <v>0.0</v>
      </c>
      <c r="N251" s="26"/>
      <c r="O251" s="93" t="str">
        <f t="shared" si="6"/>
        <v>#DIV/0!</v>
      </c>
      <c r="P251" s="93" t="str">
        <f t="shared" si="7"/>
        <v>#DIV/0!</v>
      </c>
      <c r="Q251" s="93" t="str">
        <f t="shared" si="14"/>
        <v>#DIV/0!</v>
      </c>
      <c r="R251" s="93" t="str">
        <f t="shared" si="9"/>
        <v>#DIV/0!</v>
      </c>
      <c r="S251" s="93" t="str">
        <f t="shared" si="10"/>
        <v>#DIV/0!</v>
      </c>
      <c r="T251" s="26"/>
      <c r="U251" s="26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</row>
    <row r="252">
      <c r="A252" s="26" t="s">
        <v>794</v>
      </c>
      <c r="B252" s="39" t="s">
        <v>661</v>
      </c>
      <c r="C252" s="26"/>
      <c r="D252" s="26"/>
      <c r="E252" s="26"/>
      <c r="F252" s="26"/>
      <c r="G252" s="105">
        <f t="shared" si="13"/>
        <v>0</v>
      </c>
      <c r="H252" s="26"/>
      <c r="I252" s="93" t="str">
        <f t="shared" si="2"/>
        <v>#DIV/0!</v>
      </c>
      <c r="J252" s="39"/>
      <c r="K252" s="39"/>
      <c r="L252" s="93" t="str">
        <f t="shared" si="4"/>
        <v>#DIV/0!</v>
      </c>
      <c r="M252" s="105">
        <v>0.0</v>
      </c>
      <c r="N252" s="26"/>
      <c r="O252" s="93" t="str">
        <f t="shared" si="6"/>
        <v>#DIV/0!</v>
      </c>
      <c r="P252" s="93" t="str">
        <f t="shared" si="7"/>
        <v>#DIV/0!</v>
      </c>
      <c r="Q252" s="93" t="str">
        <f t="shared" si="14"/>
        <v>#DIV/0!</v>
      </c>
      <c r="R252" s="93" t="str">
        <f t="shared" si="9"/>
        <v>#DIV/0!</v>
      </c>
      <c r="S252" s="93" t="str">
        <f t="shared" si="10"/>
        <v>#DIV/0!</v>
      </c>
      <c r="T252" s="26"/>
      <c r="U252" s="26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</row>
    <row r="253">
      <c r="A253" s="26" t="s">
        <v>795</v>
      </c>
      <c r="B253" s="39" t="s">
        <v>661</v>
      </c>
      <c r="C253" s="26"/>
      <c r="D253" s="26"/>
      <c r="E253" s="26"/>
      <c r="F253" s="26"/>
      <c r="G253" s="105">
        <f t="shared" si="13"/>
        <v>0</v>
      </c>
      <c r="H253" s="26"/>
      <c r="I253" s="93" t="str">
        <f t="shared" si="2"/>
        <v>#DIV/0!</v>
      </c>
      <c r="J253" s="39"/>
      <c r="K253" s="39"/>
      <c r="L253" s="93" t="str">
        <f t="shared" si="4"/>
        <v>#DIV/0!</v>
      </c>
      <c r="M253" s="105">
        <v>0.0</v>
      </c>
      <c r="N253" s="26"/>
      <c r="O253" s="93" t="str">
        <f t="shared" si="6"/>
        <v>#DIV/0!</v>
      </c>
      <c r="P253" s="93" t="str">
        <f t="shared" si="7"/>
        <v>#DIV/0!</v>
      </c>
      <c r="Q253" s="93" t="str">
        <f t="shared" si="14"/>
        <v>#DIV/0!</v>
      </c>
      <c r="R253" s="93" t="str">
        <f t="shared" si="9"/>
        <v>#DIV/0!</v>
      </c>
      <c r="S253" s="93" t="str">
        <f t="shared" si="10"/>
        <v>#DIV/0!</v>
      </c>
      <c r="T253" s="26"/>
      <c r="U253" s="26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</row>
    <row r="254">
      <c r="A254" s="26" t="s">
        <v>796</v>
      </c>
      <c r="B254" s="39" t="s">
        <v>661</v>
      </c>
      <c r="C254" s="26"/>
      <c r="D254" s="26"/>
      <c r="E254" s="26"/>
      <c r="F254" s="26"/>
      <c r="G254" s="105">
        <f t="shared" si="13"/>
        <v>0</v>
      </c>
      <c r="H254" s="26"/>
      <c r="I254" s="93" t="str">
        <f t="shared" si="2"/>
        <v>#DIV/0!</v>
      </c>
      <c r="J254" s="39"/>
      <c r="K254" s="39"/>
      <c r="L254" s="93" t="str">
        <f t="shared" si="4"/>
        <v>#DIV/0!</v>
      </c>
      <c r="M254" s="105">
        <v>0.0</v>
      </c>
      <c r="N254" s="26"/>
      <c r="O254" s="93" t="str">
        <f t="shared" si="6"/>
        <v>#DIV/0!</v>
      </c>
      <c r="P254" s="93" t="str">
        <f t="shared" si="7"/>
        <v>#DIV/0!</v>
      </c>
      <c r="Q254" s="93" t="str">
        <f t="shared" si="14"/>
        <v>#DIV/0!</v>
      </c>
      <c r="R254" s="93" t="str">
        <f t="shared" si="9"/>
        <v>#DIV/0!</v>
      </c>
      <c r="S254" s="93" t="str">
        <f t="shared" si="10"/>
        <v>#DIV/0!</v>
      </c>
      <c r="T254" s="26"/>
      <c r="U254" s="26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</row>
    <row r="255">
      <c r="A255" s="26" t="s">
        <v>797</v>
      </c>
      <c r="B255" s="39" t="s">
        <v>661</v>
      </c>
      <c r="C255" s="26"/>
      <c r="D255" s="26"/>
      <c r="E255" s="26"/>
      <c r="F255" s="26"/>
      <c r="G255" s="105">
        <f t="shared" si="13"/>
        <v>0</v>
      </c>
      <c r="H255" s="26"/>
      <c r="I255" s="93" t="str">
        <f t="shared" si="2"/>
        <v>#DIV/0!</v>
      </c>
      <c r="J255" s="39"/>
      <c r="K255" s="39"/>
      <c r="L255" s="93" t="str">
        <f t="shared" si="4"/>
        <v>#DIV/0!</v>
      </c>
      <c r="M255" s="105">
        <v>0.0</v>
      </c>
      <c r="N255" s="26"/>
      <c r="O255" s="93" t="str">
        <f t="shared" si="6"/>
        <v>#DIV/0!</v>
      </c>
      <c r="P255" s="93" t="str">
        <f t="shared" si="7"/>
        <v>#DIV/0!</v>
      </c>
      <c r="Q255" s="93" t="str">
        <f t="shared" si="14"/>
        <v>#DIV/0!</v>
      </c>
      <c r="R255" s="93" t="str">
        <f t="shared" si="9"/>
        <v>#DIV/0!</v>
      </c>
      <c r="S255" s="93" t="str">
        <f t="shared" si="10"/>
        <v>#DIV/0!</v>
      </c>
      <c r="T255" s="26"/>
      <c r="U255" s="26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</row>
    <row r="256">
      <c r="A256" s="26" t="s">
        <v>798</v>
      </c>
      <c r="B256" s="39" t="s">
        <v>661</v>
      </c>
      <c r="C256" s="26"/>
      <c r="D256" s="26"/>
      <c r="E256" s="26"/>
      <c r="F256" s="26"/>
      <c r="G256" s="105">
        <f t="shared" si="13"/>
        <v>0</v>
      </c>
      <c r="H256" s="26"/>
      <c r="I256" s="93" t="str">
        <f t="shared" si="2"/>
        <v>#DIV/0!</v>
      </c>
      <c r="J256" s="39"/>
      <c r="K256" s="39"/>
      <c r="L256" s="93" t="str">
        <f t="shared" si="4"/>
        <v>#DIV/0!</v>
      </c>
      <c r="M256" s="105">
        <v>0.0</v>
      </c>
      <c r="N256" s="26"/>
      <c r="O256" s="93" t="str">
        <f t="shared" si="6"/>
        <v>#DIV/0!</v>
      </c>
      <c r="P256" s="93" t="str">
        <f t="shared" si="7"/>
        <v>#DIV/0!</v>
      </c>
      <c r="Q256" s="93" t="str">
        <f t="shared" si="14"/>
        <v>#DIV/0!</v>
      </c>
      <c r="R256" s="93" t="str">
        <f t="shared" si="9"/>
        <v>#DIV/0!</v>
      </c>
      <c r="S256" s="93" t="str">
        <f t="shared" si="10"/>
        <v>#DIV/0!</v>
      </c>
      <c r="T256" s="26"/>
      <c r="U256" s="26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</row>
    <row r="257">
      <c r="A257" s="26" t="s">
        <v>799</v>
      </c>
      <c r="B257" s="39" t="s">
        <v>661</v>
      </c>
      <c r="C257" s="26"/>
      <c r="D257" s="26"/>
      <c r="E257" s="26"/>
      <c r="F257" s="26"/>
      <c r="G257" s="105">
        <f t="shared" si="13"/>
        <v>0</v>
      </c>
      <c r="H257" s="26"/>
      <c r="I257" s="93" t="str">
        <f t="shared" si="2"/>
        <v>#DIV/0!</v>
      </c>
      <c r="J257" s="39"/>
      <c r="K257" s="39"/>
      <c r="L257" s="93" t="str">
        <f t="shared" si="4"/>
        <v>#DIV/0!</v>
      </c>
      <c r="M257" s="105">
        <v>0.0</v>
      </c>
      <c r="N257" s="26"/>
      <c r="O257" s="93" t="str">
        <f t="shared" si="6"/>
        <v>#DIV/0!</v>
      </c>
      <c r="P257" s="93" t="str">
        <f t="shared" si="7"/>
        <v>#DIV/0!</v>
      </c>
      <c r="Q257" s="93" t="str">
        <f t="shared" si="14"/>
        <v>#DIV/0!</v>
      </c>
      <c r="R257" s="93" t="str">
        <f t="shared" si="9"/>
        <v>#DIV/0!</v>
      </c>
      <c r="S257" s="93" t="str">
        <f t="shared" si="10"/>
        <v>#DIV/0!</v>
      </c>
      <c r="T257" s="26"/>
      <c r="U257" s="26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</row>
    <row r="258">
      <c r="A258" s="26" t="s">
        <v>800</v>
      </c>
      <c r="B258" s="39" t="s">
        <v>661</v>
      </c>
      <c r="C258" s="26"/>
      <c r="D258" s="26"/>
      <c r="E258" s="26"/>
      <c r="F258" s="26"/>
      <c r="G258" s="105">
        <f t="shared" si="13"/>
        <v>0</v>
      </c>
      <c r="H258" s="26"/>
      <c r="I258" s="93" t="str">
        <f t="shared" si="2"/>
        <v>#DIV/0!</v>
      </c>
      <c r="J258" s="39"/>
      <c r="K258" s="39"/>
      <c r="L258" s="93" t="str">
        <f t="shared" si="4"/>
        <v>#DIV/0!</v>
      </c>
      <c r="M258" s="105">
        <v>0.0</v>
      </c>
      <c r="N258" s="26"/>
      <c r="O258" s="93" t="str">
        <f t="shared" si="6"/>
        <v>#DIV/0!</v>
      </c>
      <c r="P258" s="93" t="str">
        <f t="shared" si="7"/>
        <v>#DIV/0!</v>
      </c>
      <c r="Q258" s="93" t="str">
        <f t="shared" si="14"/>
        <v>#DIV/0!</v>
      </c>
      <c r="R258" s="93" t="str">
        <f t="shared" si="9"/>
        <v>#DIV/0!</v>
      </c>
      <c r="S258" s="93" t="str">
        <f t="shared" si="10"/>
        <v>#DIV/0!</v>
      </c>
      <c r="T258" s="26"/>
      <c r="U258" s="26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</row>
    <row r="259">
      <c r="A259" s="26" t="s">
        <v>801</v>
      </c>
      <c r="B259" s="39" t="s">
        <v>661</v>
      </c>
      <c r="C259" s="26"/>
      <c r="D259" s="26"/>
      <c r="E259" s="26"/>
      <c r="F259" s="26"/>
      <c r="G259" s="105">
        <f t="shared" si="13"/>
        <v>0</v>
      </c>
      <c r="H259" s="26"/>
      <c r="I259" s="93" t="str">
        <f t="shared" si="2"/>
        <v>#DIV/0!</v>
      </c>
      <c r="J259" s="39"/>
      <c r="K259" s="39"/>
      <c r="L259" s="93" t="str">
        <f t="shared" si="4"/>
        <v>#DIV/0!</v>
      </c>
      <c r="M259" s="105">
        <v>0.0</v>
      </c>
      <c r="N259" s="26"/>
      <c r="O259" s="93" t="str">
        <f t="shared" si="6"/>
        <v>#DIV/0!</v>
      </c>
      <c r="P259" s="93" t="str">
        <f t="shared" si="7"/>
        <v>#DIV/0!</v>
      </c>
      <c r="Q259" s="93" t="str">
        <f t="shared" si="14"/>
        <v>#DIV/0!</v>
      </c>
      <c r="R259" s="93" t="str">
        <f t="shared" si="9"/>
        <v>#DIV/0!</v>
      </c>
      <c r="S259" s="93" t="str">
        <f t="shared" si="10"/>
        <v>#DIV/0!</v>
      </c>
      <c r="T259" s="26"/>
      <c r="U259" s="26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</row>
    <row r="260">
      <c r="A260" s="26" t="s">
        <v>802</v>
      </c>
      <c r="B260" s="39" t="s">
        <v>661</v>
      </c>
      <c r="C260" s="26"/>
      <c r="D260" s="26"/>
      <c r="E260" s="26"/>
      <c r="F260" s="26"/>
      <c r="G260" s="105">
        <f t="shared" si="13"/>
        <v>0</v>
      </c>
      <c r="H260" s="26"/>
      <c r="I260" s="93" t="str">
        <f t="shared" si="2"/>
        <v>#DIV/0!</v>
      </c>
      <c r="J260" s="39"/>
      <c r="K260" s="39"/>
      <c r="L260" s="93" t="str">
        <f t="shared" si="4"/>
        <v>#DIV/0!</v>
      </c>
      <c r="M260" s="105">
        <v>0.0</v>
      </c>
      <c r="N260" s="26"/>
      <c r="O260" s="93" t="str">
        <f t="shared" si="6"/>
        <v>#DIV/0!</v>
      </c>
      <c r="P260" s="93" t="str">
        <f t="shared" si="7"/>
        <v>#DIV/0!</v>
      </c>
      <c r="Q260" s="93" t="str">
        <f t="shared" si="14"/>
        <v>#DIV/0!</v>
      </c>
      <c r="R260" s="93" t="str">
        <f t="shared" si="9"/>
        <v>#DIV/0!</v>
      </c>
      <c r="S260" s="93" t="str">
        <f t="shared" si="10"/>
        <v>#DIV/0!</v>
      </c>
      <c r="T260" s="26"/>
      <c r="U260" s="26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</row>
    <row r="261">
      <c r="A261" s="26" t="s">
        <v>803</v>
      </c>
      <c r="B261" s="39" t="s">
        <v>661</v>
      </c>
      <c r="C261" s="26"/>
      <c r="D261" s="26"/>
      <c r="E261" s="26"/>
      <c r="F261" s="26"/>
      <c r="G261" s="105">
        <f t="shared" si="13"/>
        <v>0</v>
      </c>
      <c r="H261" s="26"/>
      <c r="I261" s="93" t="str">
        <f t="shared" si="2"/>
        <v>#DIV/0!</v>
      </c>
      <c r="J261" s="39"/>
      <c r="K261" s="39"/>
      <c r="L261" s="93" t="str">
        <f t="shared" si="4"/>
        <v>#DIV/0!</v>
      </c>
      <c r="M261" s="105">
        <v>0.0</v>
      </c>
      <c r="N261" s="26"/>
      <c r="O261" s="93" t="str">
        <f t="shared" si="6"/>
        <v>#DIV/0!</v>
      </c>
      <c r="P261" s="93" t="str">
        <f t="shared" si="7"/>
        <v>#DIV/0!</v>
      </c>
      <c r="Q261" s="93" t="str">
        <f t="shared" si="14"/>
        <v>#DIV/0!</v>
      </c>
      <c r="R261" s="93" t="str">
        <f t="shared" si="9"/>
        <v>#DIV/0!</v>
      </c>
      <c r="S261" s="93" t="str">
        <f t="shared" si="10"/>
        <v>#DIV/0!</v>
      </c>
      <c r="T261" s="26"/>
      <c r="U261" s="26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</row>
    <row r="262">
      <c r="A262" s="26" t="s">
        <v>804</v>
      </c>
      <c r="B262" s="39" t="s">
        <v>661</v>
      </c>
      <c r="C262" s="26"/>
      <c r="D262" s="26"/>
      <c r="E262" s="26"/>
      <c r="F262" s="26"/>
      <c r="G262" s="105">
        <f t="shared" si="13"/>
        <v>0</v>
      </c>
      <c r="H262" s="26"/>
      <c r="I262" s="93" t="str">
        <f t="shared" si="2"/>
        <v>#DIV/0!</v>
      </c>
      <c r="J262" s="39"/>
      <c r="K262" s="39"/>
      <c r="L262" s="93" t="str">
        <f t="shared" si="4"/>
        <v>#DIV/0!</v>
      </c>
      <c r="M262" s="105">
        <v>0.0</v>
      </c>
      <c r="N262" s="26"/>
      <c r="O262" s="93" t="str">
        <f t="shared" si="6"/>
        <v>#DIV/0!</v>
      </c>
      <c r="P262" s="93" t="str">
        <f t="shared" si="7"/>
        <v>#DIV/0!</v>
      </c>
      <c r="Q262" s="93" t="str">
        <f t="shared" si="14"/>
        <v>#DIV/0!</v>
      </c>
      <c r="R262" s="93" t="str">
        <f t="shared" si="9"/>
        <v>#DIV/0!</v>
      </c>
      <c r="S262" s="93" t="str">
        <f t="shared" si="10"/>
        <v>#DIV/0!</v>
      </c>
      <c r="T262" s="26"/>
      <c r="U262" s="26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</row>
    <row r="263">
      <c r="A263" s="26" t="s">
        <v>805</v>
      </c>
      <c r="B263" s="39" t="s">
        <v>661</v>
      </c>
      <c r="C263" s="26"/>
      <c r="D263" s="26"/>
      <c r="E263" s="26"/>
      <c r="F263" s="26"/>
      <c r="G263" s="105">
        <f t="shared" si="13"/>
        <v>0</v>
      </c>
      <c r="H263" s="26"/>
      <c r="I263" s="93" t="str">
        <f t="shared" si="2"/>
        <v>#DIV/0!</v>
      </c>
      <c r="J263" s="39"/>
      <c r="K263" s="39"/>
      <c r="L263" s="93" t="str">
        <f t="shared" si="4"/>
        <v>#DIV/0!</v>
      </c>
      <c r="M263" s="105">
        <v>0.0</v>
      </c>
      <c r="N263" s="26"/>
      <c r="O263" s="93" t="str">
        <f t="shared" si="6"/>
        <v>#DIV/0!</v>
      </c>
      <c r="P263" s="93" t="str">
        <f t="shared" si="7"/>
        <v>#DIV/0!</v>
      </c>
      <c r="Q263" s="93" t="str">
        <f t="shared" si="14"/>
        <v>#DIV/0!</v>
      </c>
      <c r="R263" s="93" t="str">
        <f t="shared" si="9"/>
        <v>#DIV/0!</v>
      </c>
      <c r="S263" s="93" t="str">
        <f t="shared" si="10"/>
        <v>#DIV/0!</v>
      </c>
      <c r="T263" s="26"/>
      <c r="U263" s="26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</row>
    <row r="264">
      <c r="A264" s="26" t="s">
        <v>806</v>
      </c>
      <c r="B264" s="39" t="s">
        <v>661</v>
      </c>
      <c r="C264" s="26"/>
      <c r="D264" s="26"/>
      <c r="E264" s="26"/>
      <c r="F264" s="26"/>
      <c r="G264" s="105">
        <f t="shared" si="13"/>
        <v>0</v>
      </c>
      <c r="H264" s="26"/>
      <c r="I264" s="93" t="str">
        <f t="shared" si="2"/>
        <v>#DIV/0!</v>
      </c>
      <c r="J264" s="39"/>
      <c r="K264" s="39"/>
      <c r="L264" s="93" t="str">
        <f t="shared" si="4"/>
        <v>#DIV/0!</v>
      </c>
      <c r="M264" s="105">
        <v>0.0</v>
      </c>
      <c r="N264" s="26"/>
      <c r="O264" s="93" t="str">
        <f t="shared" si="6"/>
        <v>#DIV/0!</v>
      </c>
      <c r="P264" s="93" t="str">
        <f t="shared" si="7"/>
        <v>#DIV/0!</v>
      </c>
      <c r="Q264" s="93" t="str">
        <f t="shared" si="14"/>
        <v>#DIV/0!</v>
      </c>
      <c r="R264" s="93" t="str">
        <f t="shared" si="9"/>
        <v>#DIV/0!</v>
      </c>
      <c r="S264" s="93" t="str">
        <f t="shared" si="10"/>
        <v>#DIV/0!</v>
      </c>
      <c r="T264" s="26"/>
      <c r="U264" s="26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</row>
    <row r="265">
      <c r="A265" s="26" t="s">
        <v>807</v>
      </c>
      <c r="B265" s="39" t="s">
        <v>661</v>
      </c>
      <c r="C265" s="26"/>
      <c r="D265" s="26"/>
      <c r="E265" s="26"/>
      <c r="F265" s="26"/>
      <c r="G265" s="105">
        <f t="shared" si="13"/>
        <v>0</v>
      </c>
      <c r="H265" s="26"/>
      <c r="I265" s="93" t="str">
        <f t="shared" si="2"/>
        <v>#DIV/0!</v>
      </c>
      <c r="J265" s="39"/>
      <c r="K265" s="39"/>
      <c r="L265" s="93" t="str">
        <f t="shared" si="4"/>
        <v>#DIV/0!</v>
      </c>
      <c r="M265" s="105">
        <v>0.0</v>
      </c>
      <c r="N265" s="26"/>
      <c r="O265" s="93" t="str">
        <f t="shared" si="6"/>
        <v>#DIV/0!</v>
      </c>
      <c r="P265" s="93" t="str">
        <f t="shared" si="7"/>
        <v>#DIV/0!</v>
      </c>
      <c r="Q265" s="93" t="str">
        <f t="shared" si="14"/>
        <v>#DIV/0!</v>
      </c>
      <c r="R265" s="93" t="str">
        <f t="shared" si="9"/>
        <v>#DIV/0!</v>
      </c>
      <c r="S265" s="93" t="str">
        <f t="shared" si="10"/>
        <v>#DIV/0!</v>
      </c>
      <c r="T265" s="26"/>
      <c r="U265" s="26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</row>
    <row r="97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</row>
    <row r="973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</row>
    <row r="974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</row>
    <row r="975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</row>
    <row r="976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</row>
    <row r="977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</row>
    <row r="978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</row>
    <row r="979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</row>
    <row r="980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</row>
    <row r="98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</row>
    <row r="98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</row>
    <row r="983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</row>
    <row r="984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</row>
    <row r="985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</row>
    <row r="986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</row>
    <row r="987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</row>
    <row r="988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</row>
    <row r="989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</row>
    <row r="990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</row>
    <row r="99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</row>
    <row r="99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</row>
    <row r="993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</row>
  </sheetData>
  <dataValidations>
    <dataValidation type="list" allowBlank="1" showErrorMessage="1" sqref="B2:B265">
      <formula1>"สินค้าหลัก,สินค้าหมุนเวียน,วัตถุดิบ,ฺBakery,MN"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7.63"/>
    <col customWidth="1" min="3" max="3" width="13.75"/>
    <col customWidth="1" min="4" max="4" width="41.25"/>
    <col customWidth="1" min="5" max="5" width="32.0"/>
    <col customWidth="1" min="8" max="8" width="8.38"/>
  </cols>
  <sheetData>
    <row r="1">
      <c r="A1" s="114" t="s">
        <v>0</v>
      </c>
    </row>
    <row r="2">
      <c r="A2" s="3" t="s">
        <v>1</v>
      </c>
      <c r="B2" s="3" t="s">
        <v>2</v>
      </c>
      <c r="C2" s="115" t="s">
        <v>3</v>
      </c>
      <c r="D2" s="3" t="s">
        <v>4</v>
      </c>
      <c r="E2" s="116" t="s">
        <v>808</v>
      </c>
      <c r="F2" s="117" t="s">
        <v>809</v>
      </c>
      <c r="G2" s="118" t="s">
        <v>810</v>
      </c>
      <c r="H2" s="117" t="s">
        <v>7</v>
      </c>
      <c r="I2" s="117" t="s">
        <v>811</v>
      </c>
      <c r="J2" s="117" t="s">
        <v>8</v>
      </c>
    </row>
    <row r="3">
      <c r="A3" s="119">
        <v>1.0</v>
      </c>
      <c r="B3" s="120" t="s">
        <v>812</v>
      </c>
      <c r="C3" s="121"/>
      <c r="D3" s="122" t="s">
        <v>139</v>
      </c>
      <c r="E3" s="123"/>
      <c r="F3" s="120">
        <v>2.0</v>
      </c>
      <c r="G3" s="119">
        <v>1.0</v>
      </c>
      <c r="H3" s="119" t="s">
        <v>813</v>
      </c>
      <c r="I3" s="124" t="str">
        <f t="shared" ref="I3:I42" si="1">IF(F3&lt;&gt;"",IF(F3&lt;G3,"เบิก",""),)</f>
        <v/>
      </c>
      <c r="J3" s="119" t="s">
        <v>814</v>
      </c>
    </row>
    <row r="4">
      <c r="A4" s="119">
        <v>2.0</v>
      </c>
      <c r="B4" s="120" t="s">
        <v>812</v>
      </c>
      <c r="C4" s="121"/>
      <c r="D4" s="122" t="s">
        <v>141</v>
      </c>
      <c r="E4" s="123"/>
      <c r="F4" s="120">
        <v>1.0</v>
      </c>
      <c r="G4" s="119">
        <v>1.0</v>
      </c>
      <c r="H4" s="119" t="s">
        <v>813</v>
      </c>
      <c r="I4" s="124" t="str">
        <f t="shared" si="1"/>
        <v/>
      </c>
      <c r="J4" s="119" t="s">
        <v>814</v>
      </c>
    </row>
    <row r="5">
      <c r="A5" s="119">
        <v>3.0</v>
      </c>
      <c r="B5" s="120" t="s">
        <v>812</v>
      </c>
      <c r="C5" s="121"/>
      <c r="D5" s="122" t="s">
        <v>143</v>
      </c>
      <c r="E5" s="123"/>
      <c r="F5" s="120">
        <v>0.0</v>
      </c>
      <c r="G5" s="119">
        <v>1.0</v>
      </c>
      <c r="H5" s="119" t="s">
        <v>813</v>
      </c>
      <c r="I5" s="124" t="str">
        <f t="shared" si="1"/>
        <v>เบิก</v>
      </c>
      <c r="J5" s="119" t="s">
        <v>814</v>
      </c>
    </row>
    <row r="6">
      <c r="A6" s="119">
        <v>4.0</v>
      </c>
      <c r="B6" s="120" t="s">
        <v>812</v>
      </c>
      <c r="C6" s="125"/>
      <c r="D6" s="122" t="s">
        <v>145</v>
      </c>
      <c r="E6" s="123"/>
      <c r="F6" s="120">
        <v>5.0</v>
      </c>
      <c r="G6" s="119">
        <v>1.0</v>
      </c>
      <c r="H6" s="119" t="s">
        <v>813</v>
      </c>
      <c r="I6" s="124" t="str">
        <f t="shared" si="1"/>
        <v/>
      </c>
      <c r="J6" s="119" t="s">
        <v>814</v>
      </c>
    </row>
    <row r="7">
      <c r="A7" s="119">
        <v>5.0</v>
      </c>
      <c r="B7" s="120" t="s">
        <v>812</v>
      </c>
      <c r="C7" s="125"/>
      <c r="D7" s="122" t="s">
        <v>147</v>
      </c>
      <c r="E7" s="123"/>
      <c r="F7" s="120">
        <v>1.0</v>
      </c>
      <c r="G7" s="119">
        <v>1.0</v>
      </c>
      <c r="H7" s="119" t="s">
        <v>813</v>
      </c>
      <c r="I7" s="124" t="str">
        <f t="shared" si="1"/>
        <v/>
      </c>
      <c r="J7" s="119" t="s">
        <v>814</v>
      </c>
    </row>
    <row r="8">
      <c r="A8" s="119">
        <v>6.0</v>
      </c>
      <c r="B8" s="120" t="s">
        <v>812</v>
      </c>
      <c r="C8" s="125"/>
      <c r="D8" s="122" t="s">
        <v>149</v>
      </c>
      <c r="E8" s="126"/>
      <c r="F8" s="120">
        <v>0.0</v>
      </c>
      <c r="G8" s="119">
        <v>1.0</v>
      </c>
      <c r="H8" s="119" t="s">
        <v>815</v>
      </c>
      <c r="I8" s="124" t="str">
        <f t="shared" si="1"/>
        <v>เบิก</v>
      </c>
      <c r="J8" s="119" t="s">
        <v>814</v>
      </c>
    </row>
    <row r="9">
      <c r="A9" s="119">
        <v>7.0</v>
      </c>
      <c r="B9" s="120" t="s">
        <v>812</v>
      </c>
      <c r="C9" s="125"/>
      <c r="D9" s="122" t="s">
        <v>151</v>
      </c>
      <c r="E9" s="126"/>
      <c r="F9" s="120">
        <v>0.0</v>
      </c>
      <c r="G9" s="119">
        <v>1.0</v>
      </c>
      <c r="H9" s="119" t="s">
        <v>204</v>
      </c>
      <c r="I9" s="124" t="str">
        <f t="shared" si="1"/>
        <v>เบิก</v>
      </c>
      <c r="J9" s="119" t="s">
        <v>814</v>
      </c>
    </row>
    <row r="10">
      <c r="A10" s="119">
        <v>8.0</v>
      </c>
      <c r="B10" s="120" t="s">
        <v>812</v>
      </c>
      <c r="C10" s="125"/>
      <c r="D10" s="126" t="s">
        <v>160</v>
      </c>
      <c r="E10" s="126"/>
      <c r="F10" s="120"/>
      <c r="G10" s="119">
        <v>1.0</v>
      </c>
      <c r="H10" s="119" t="s">
        <v>204</v>
      </c>
      <c r="I10" s="124" t="str">
        <f t="shared" si="1"/>
        <v/>
      </c>
      <c r="J10" s="119" t="s">
        <v>814</v>
      </c>
    </row>
    <row r="11">
      <c r="A11" s="119">
        <v>9.0</v>
      </c>
      <c r="B11" s="120" t="s">
        <v>812</v>
      </c>
      <c r="C11" s="125"/>
      <c r="D11" s="126" t="s">
        <v>164</v>
      </c>
      <c r="E11" s="126"/>
      <c r="F11" s="120"/>
      <c r="G11" s="119">
        <v>1.0</v>
      </c>
      <c r="H11" s="119" t="s">
        <v>204</v>
      </c>
      <c r="I11" s="124" t="str">
        <f t="shared" si="1"/>
        <v/>
      </c>
      <c r="J11" s="119" t="s">
        <v>814</v>
      </c>
    </row>
    <row r="12">
      <c r="A12" s="119">
        <v>10.0</v>
      </c>
      <c r="B12" s="120" t="s">
        <v>816</v>
      </c>
      <c r="C12" s="120" t="s">
        <v>196</v>
      </c>
      <c r="D12" s="126" t="s">
        <v>197</v>
      </c>
      <c r="E12" s="126"/>
      <c r="F12" s="125"/>
      <c r="G12" s="119">
        <v>0.0</v>
      </c>
      <c r="H12" s="119" t="s">
        <v>817</v>
      </c>
      <c r="I12" s="124" t="str">
        <f t="shared" si="1"/>
        <v/>
      </c>
      <c r="J12" s="119" t="s">
        <v>814</v>
      </c>
    </row>
    <row r="13">
      <c r="A13" s="119">
        <v>11.0</v>
      </c>
      <c r="B13" s="120" t="s">
        <v>816</v>
      </c>
      <c r="C13" s="120" t="s">
        <v>200</v>
      </c>
      <c r="D13" s="126" t="s">
        <v>201</v>
      </c>
      <c r="E13" s="126"/>
      <c r="F13" s="125"/>
      <c r="G13" s="119">
        <v>16.0</v>
      </c>
      <c r="H13" s="119" t="s">
        <v>817</v>
      </c>
      <c r="I13" s="124" t="str">
        <f t="shared" si="1"/>
        <v/>
      </c>
      <c r="J13" s="119" t="s">
        <v>814</v>
      </c>
    </row>
    <row r="14">
      <c r="A14" s="119">
        <v>12.0</v>
      </c>
      <c r="B14" s="120" t="s">
        <v>816</v>
      </c>
      <c r="C14" s="120" t="s">
        <v>191</v>
      </c>
      <c r="D14" s="126" t="s">
        <v>192</v>
      </c>
      <c r="E14" s="126"/>
      <c r="F14" s="120"/>
      <c r="G14" s="119">
        <v>1.0</v>
      </c>
      <c r="H14" s="119" t="s">
        <v>813</v>
      </c>
      <c r="I14" s="124" t="str">
        <f t="shared" si="1"/>
        <v/>
      </c>
      <c r="J14" s="119" t="s">
        <v>814</v>
      </c>
    </row>
    <row r="15">
      <c r="A15" s="119">
        <v>13.0</v>
      </c>
      <c r="B15" s="120" t="s">
        <v>816</v>
      </c>
      <c r="C15" s="125"/>
      <c r="D15" s="126" t="s">
        <v>206</v>
      </c>
      <c r="E15" s="126"/>
      <c r="F15" s="125"/>
      <c r="G15" s="119">
        <v>2.0</v>
      </c>
      <c r="H15" s="119" t="s">
        <v>204</v>
      </c>
      <c r="I15" s="124" t="str">
        <f t="shared" si="1"/>
        <v/>
      </c>
      <c r="J15" s="119" t="s">
        <v>814</v>
      </c>
    </row>
    <row r="16">
      <c r="A16" s="119">
        <v>14.0</v>
      </c>
      <c r="B16" s="120" t="s">
        <v>816</v>
      </c>
      <c r="C16" s="120" t="s">
        <v>211</v>
      </c>
      <c r="D16" s="126" t="s">
        <v>212</v>
      </c>
      <c r="E16" s="126"/>
      <c r="F16" s="125"/>
      <c r="G16" s="119">
        <v>4.0</v>
      </c>
      <c r="H16" s="119" t="s">
        <v>818</v>
      </c>
      <c r="I16" s="124" t="str">
        <f t="shared" si="1"/>
        <v/>
      </c>
      <c r="J16" s="119" t="s">
        <v>814</v>
      </c>
    </row>
    <row r="17">
      <c r="A17" s="119">
        <v>15.0</v>
      </c>
      <c r="B17" s="120" t="s">
        <v>816</v>
      </c>
      <c r="C17" s="120" t="s">
        <v>213</v>
      </c>
      <c r="D17" s="126" t="s">
        <v>214</v>
      </c>
      <c r="E17" s="126"/>
      <c r="F17" s="125"/>
      <c r="G17" s="119">
        <v>4.0</v>
      </c>
      <c r="H17" s="119" t="s">
        <v>818</v>
      </c>
      <c r="I17" s="124" t="str">
        <f t="shared" si="1"/>
        <v/>
      </c>
      <c r="J17" s="119" t="s">
        <v>814</v>
      </c>
    </row>
    <row r="18">
      <c r="A18" s="119">
        <v>16.0</v>
      </c>
      <c r="B18" s="120" t="s">
        <v>816</v>
      </c>
      <c r="C18" s="125"/>
      <c r="D18" s="126" t="s">
        <v>273</v>
      </c>
      <c r="E18" s="126"/>
      <c r="F18" s="125"/>
      <c r="G18" s="119">
        <v>4.0</v>
      </c>
      <c r="H18" s="119" t="s">
        <v>818</v>
      </c>
      <c r="I18" s="124" t="str">
        <f t="shared" si="1"/>
        <v/>
      </c>
      <c r="J18" s="119" t="s">
        <v>814</v>
      </c>
    </row>
    <row r="19">
      <c r="A19" s="119">
        <v>17.0</v>
      </c>
      <c r="B19" s="120" t="s">
        <v>816</v>
      </c>
      <c r="C19" s="125"/>
      <c r="D19" s="126" t="s">
        <v>274</v>
      </c>
      <c r="E19" s="126"/>
      <c r="F19" s="125"/>
      <c r="G19" s="119">
        <v>4.0</v>
      </c>
      <c r="H19" s="119" t="s">
        <v>818</v>
      </c>
      <c r="I19" s="124" t="str">
        <f t="shared" si="1"/>
        <v/>
      </c>
      <c r="J19" s="119" t="s">
        <v>814</v>
      </c>
    </row>
    <row r="20">
      <c r="A20" s="119">
        <v>18.0</v>
      </c>
      <c r="B20" s="120" t="s">
        <v>816</v>
      </c>
      <c r="C20" s="120" t="s">
        <v>255</v>
      </c>
      <c r="D20" s="126" t="s">
        <v>256</v>
      </c>
      <c r="E20" s="126"/>
      <c r="F20" s="125"/>
      <c r="G20" s="119">
        <v>2.0</v>
      </c>
      <c r="H20" s="119" t="s">
        <v>818</v>
      </c>
      <c r="I20" s="124" t="str">
        <f t="shared" si="1"/>
        <v/>
      </c>
      <c r="J20" s="119" t="s">
        <v>814</v>
      </c>
    </row>
    <row r="21">
      <c r="A21" s="119">
        <v>19.0</v>
      </c>
      <c r="B21" s="120" t="s">
        <v>816</v>
      </c>
      <c r="C21" s="120" t="s">
        <v>275</v>
      </c>
      <c r="D21" s="126" t="s">
        <v>276</v>
      </c>
      <c r="E21" s="126" t="s">
        <v>277</v>
      </c>
      <c r="F21" s="125"/>
      <c r="G21" s="119">
        <v>6.0</v>
      </c>
      <c r="H21" s="119" t="s">
        <v>819</v>
      </c>
      <c r="I21" s="124" t="str">
        <f t="shared" si="1"/>
        <v/>
      </c>
      <c r="J21" s="119" t="s">
        <v>814</v>
      </c>
    </row>
    <row r="22">
      <c r="A22" s="119">
        <v>20.0</v>
      </c>
      <c r="B22" s="120" t="s">
        <v>816</v>
      </c>
      <c r="C22" s="120" t="s">
        <v>283</v>
      </c>
      <c r="D22" s="126" t="s">
        <v>284</v>
      </c>
      <c r="E22" s="126" t="s">
        <v>285</v>
      </c>
      <c r="F22" s="125"/>
      <c r="G22" s="119">
        <v>2.0</v>
      </c>
      <c r="H22" s="119" t="s">
        <v>181</v>
      </c>
      <c r="I22" s="124" t="str">
        <f t="shared" si="1"/>
        <v/>
      </c>
      <c r="J22" s="119" t="s">
        <v>814</v>
      </c>
    </row>
    <row r="23">
      <c r="A23" s="119">
        <v>21.0</v>
      </c>
      <c r="B23" s="120" t="s">
        <v>816</v>
      </c>
      <c r="C23" s="120" t="s">
        <v>287</v>
      </c>
      <c r="D23" s="126" t="s">
        <v>288</v>
      </c>
      <c r="E23" s="126" t="s">
        <v>289</v>
      </c>
      <c r="F23" s="125"/>
      <c r="G23" s="119">
        <v>2.0</v>
      </c>
      <c r="H23" s="119" t="s">
        <v>181</v>
      </c>
      <c r="I23" s="124" t="str">
        <f t="shared" si="1"/>
        <v/>
      </c>
      <c r="J23" s="119" t="s">
        <v>814</v>
      </c>
    </row>
    <row r="24">
      <c r="A24" s="119">
        <v>22.0</v>
      </c>
      <c r="B24" s="120" t="s">
        <v>816</v>
      </c>
      <c r="C24" s="125"/>
      <c r="D24" s="126" t="s">
        <v>293</v>
      </c>
      <c r="E24" s="126"/>
      <c r="F24" s="125"/>
      <c r="G24" s="119">
        <v>4.0</v>
      </c>
      <c r="H24" s="119" t="s">
        <v>813</v>
      </c>
      <c r="I24" s="124" t="str">
        <f t="shared" si="1"/>
        <v/>
      </c>
      <c r="J24" s="119" t="s">
        <v>814</v>
      </c>
    </row>
    <row r="25">
      <c r="A25" s="119">
        <v>23.0</v>
      </c>
      <c r="B25" s="120" t="s">
        <v>816</v>
      </c>
      <c r="C25" s="120" t="s">
        <v>294</v>
      </c>
      <c r="D25" s="126" t="s">
        <v>295</v>
      </c>
      <c r="E25" s="126"/>
      <c r="F25" s="125"/>
      <c r="G25" s="119">
        <v>4.0</v>
      </c>
      <c r="H25" s="119" t="s">
        <v>204</v>
      </c>
      <c r="I25" s="124" t="str">
        <f t="shared" si="1"/>
        <v/>
      </c>
      <c r="J25" s="119" t="s">
        <v>814</v>
      </c>
    </row>
    <row r="26">
      <c r="A26" s="119">
        <v>24.0</v>
      </c>
      <c r="B26" s="120" t="s">
        <v>816</v>
      </c>
      <c r="C26" s="125"/>
      <c r="D26" s="126" t="s">
        <v>297</v>
      </c>
      <c r="E26" s="126"/>
      <c r="F26" s="125"/>
      <c r="G26" s="119">
        <v>2.0</v>
      </c>
      <c r="H26" s="119" t="s">
        <v>818</v>
      </c>
      <c r="I26" s="124" t="str">
        <f t="shared" si="1"/>
        <v/>
      </c>
      <c r="J26" s="119" t="s">
        <v>814</v>
      </c>
    </row>
    <row r="27">
      <c r="A27" s="119">
        <v>25.0</v>
      </c>
      <c r="B27" s="120" t="s">
        <v>816</v>
      </c>
      <c r="C27" s="120" t="s">
        <v>298</v>
      </c>
      <c r="D27" s="127" t="s">
        <v>299</v>
      </c>
      <c r="E27" s="127" t="s">
        <v>300</v>
      </c>
      <c r="F27" s="125"/>
      <c r="G27" s="119">
        <v>2.0</v>
      </c>
      <c r="H27" s="119" t="s">
        <v>818</v>
      </c>
      <c r="I27" s="124" t="str">
        <f t="shared" si="1"/>
        <v/>
      </c>
      <c r="J27" s="119" t="s">
        <v>814</v>
      </c>
    </row>
    <row r="28">
      <c r="A28" s="119">
        <v>26.0</v>
      </c>
      <c r="B28" s="120" t="s">
        <v>816</v>
      </c>
      <c r="C28" s="120" t="s">
        <v>301</v>
      </c>
      <c r="D28" s="127" t="s">
        <v>302</v>
      </c>
      <c r="E28" s="127" t="s">
        <v>303</v>
      </c>
      <c r="F28" s="125"/>
      <c r="G28" s="119">
        <v>2.0</v>
      </c>
      <c r="H28" s="119" t="s">
        <v>818</v>
      </c>
      <c r="I28" s="124" t="str">
        <f t="shared" si="1"/>
        <v/>
      </c>
      <c r="J28" s="119" t="s">
        <v>814</v>
      </c>
    </row>
    <row r="29">
      <c r="A29" s="119">
        <v>27.0</v>
      </c>
      <c r="B29" s="120" t="s">
        <v>816</v>
      </c>
      <c r="C29" s="120" t="s">
        <v>304</v>
      </c>
      <c r="D29" s="127" t="s">
        <v>305</v>
      </c>
      <c r="E29" s="127" t="s">
        <v>306</v>
      </c>
      <c r="F29" s="125"/>
      <c r="G29" s="119">
        <v>2.0</v>
      </c>
      <c r="H29" s="119" t="s">
        <v>818</v>
      </c>
      <c r="I29" s="124" t="str">
        <f t="shared" si="1"/>
        <v/>
      </c>
      <c r="J29" s="119" t="s">
        <v>814</v>
      </c>
    </row>
    <row r="30">
      <c r="A30" s="119">
        <v>28.0</v>
      </c>
      <c r="B30" s="120" t="s">
        <v>816</v>
      </c>
      <c r="C30" s="125"/>
      <c r="D30" s="128" t="s">
        <v>308</v>
      </c>
      <c r="E30" s="128"/>
      <c r="F30" s="125"/>
      <c r="G30" s="119">
        <v>4.0</v>
      </c>
      <c r="H30" s="119" t="s">
        <v>818</v>
      </c>
      <c r="I30" s="124" t="str">
        <f t="shared" si="1"/>
        <v/>
      </c>
      <c r="J30" s="119" t="s">
        <v>814</v>
      </c>
    </row>
    <row r="31">
      <c r="A31" s="119">
        <v>29.0</v>
      </c>
      <c r="B31" s="120" t="s">
        <v>816</v>
      </c>
      <c r="C31" s="125"/>
      <c r="D31" s="128" t="s">
        <v>313</v>
      </c>
      <c r="E31" s="128"/>
      <c r="F31" s="125"/>
      <c r="G31" s="119">
        <v>3.0</v>
      </c>
      <c r="H31" s="119" t="s">
        <v>820</v>
      </c>
      <c r="I31" s="124" t="str">
        <f t="shared" si="1"/>
        <v/>
      </c>
      <c r="J31" s="119" t="s">
        <v>814</v>
      </c>
    </row>
    <row r="32">
      <c r="A32" s="119">
        <v>30.0</v>
      </c>
      <c r="B32" s="120" t="s">
        <v>816</v>
      </c>
      <c r="C32" s="125"/>
      <c r="D32" s="128" t="s">
        <v>315</v>
      </c>
      <c r="E32" s="128"/>
      <c r="F32" s="125"/>
      <c r="G32" s="119">
        <v>2.0</v>
      </c>
      <c r="H32" s="119" t="s">
        <v>204</v>
      </c>
      <c r="I32" s="124" t="str">
        <f t="shared" si="1"/>
        <v/>
      </c>
      <c r="J32" s="119" t="s">
        <v>814</v>
      </c>
    </row>
    <row r="33">
      <c r="A33" s="119">
        <v>31.0</v>
      </c>
      <c r="B33" s="120" t="s">
        <v>816</v>
      </c>
      <c r="C33" s="120" t="s">
        <v>317</v>
      </c>
      <c r="D33" s="128" t="s">
        <v>318</v>
      </c>
      <c r="E33" s="128"/>
      <c r="F33" s="125"/>
      <c r="G33" s="119">
        <v>1.0</v>
      </c>
      <c r="H33" s="119" t="s">
        <v>204</v>
      </c>
      <c r="I33" s="124" t="str">
        <f t="shared" si="1"/>
        <v/>
      </c>
      <c r="J33" s="119" t="s">
        <v>814</v>
      </c>
    </row>
    <row r="34">
      <c r="A34" s="119">
        <v>32.0</v>
      </c>
      <c r="B34" s="120" t="s">
        <v>816</v>
      </c>
      <c r="C34" s="125"/>
      <c r="D34" s="128" t="s">
        <v>320</v>
      </c>
      <c r="E34" s="128"/>
      <c r="F34" s="125"/>
      <c r="G34" s="119">
        <v>2.0</v>
      </c>
      <c r="H34" s="119" t="s">
        <v>818</v>
      </c>
      <c r="I34" s="124" t="str">
        <f t="shared" si="1"/>
        <v/>
      </c>
      <c r="J34" s="119" t="s">
        <v>814</v>
      </c>
    </row>
    <row r="35">
      <c r="A35" s="119">
        <v>33.0</v>
      </c>
      <c r="B35" s="120" t="s">
        <v>816</v>
      </c>
      <c r="C35" s="125"/>
      <c r="D35" s="128" t="s">
        <v>323</v>
      </c>
      <c r="E35" s="128"/>
      <c r="F35" s="125"/>
      <c r="G35" s="119">
        <v>4.0</v>
      </c>
      <c r="H35" s="119" t="s">
        <v>324</v>
      </c>
      <c r="I35" s="124" t="str">
        <f t="shared" si="1"/>
        <v/>
      </c>
      <c r="J35" s="119" t="s">
        <v>814</v>
      </c>
    </row>
    <row r="36">
      <c r="A36" s="119">
        <v>34.0</v>
      </c>
      <c r="B36" s="120" t="s">
        <v>816</v>
      </c>
      <c r="C36" s="125"/>
      <c r="D36" s="128" t="s">
        <v>326</v>
      </c>
      <c r="E36" s="128"/>
      <c r="F36" s="125"/>
      <c r="G36" s="119">
        <v>4.0</v>
      </c>
      <c r="H36" s="119" t="s">
        <v>327</v>
      </c>
      <c r="I36" s="124" t="str">
        <f t="shared" si="1"/>
        <v/>
      </c>
      <c r="J36" s="119" t="s">
        <v>814</v>
      </c>
    </row>
    <row r="37">
      <c r="A37" s="119">
        <v>35.0</v>
      </c>
      <c r="B37" s="120" t="s">
        <v>816</v>
      </c>
      <c r="C37" s="125"/>
      <c r="D37" s="128" t="s">
        <v>329</v>
      </c>
      <c r="E37" s="128"/>
      <c r="F37" s="125"/>
      <c r="G37" s="119">
        <v>4.0</v>
      </c>
      <c r="H37" s="119" t="s">
        <v>330</v>
      </c>
      <c r="I37" s="124" t="str">
        <f t="shared" si="1"/>
        <v/>
      </c>
      <c r="J37" s="119" t="s">
        <v>814</v>
      </c>
    </row>
    <row r="38">
      <c r="A38" s="119">
        <v>36.0</v>
      </c>
      <c r="B38" s="120" t="s">
        <v>816</v>
      </c>
      <c r="C38" s="125"/>
      <c r="D38" s="128" t="s">
        <v>341</v>
      </c>
      <c r="E38" s="128"/>
      <c r="F38" s="125"/>
      <c r="G38" s="119">
        <v>7.0</v>
      </c>
      <c r="H38" s="119" t="s">
        <v>330</v>
      </c>
      <c r="I38" s="124" t="str">
        <f t="shared" si="1"/>
        <v/>
      </c>
      <c r="J38" s="119" t="s">
        <v>814</v>
      </c>
    </row>
    <row r="39">
      <c r="A39" s="119">
        <v>37.0</v>
      </c>
      <c r="B39" s="120" t="s">
        <v>816</v>
      </c>
      <c r="C39" s="125"/>
      <c r="D39" s="128" t="s">
        <v>342</v>
      </c>
      <c r="E39" s="128"/>
      <c r="F39" s="125"/>
      <c r="G39" s="119">
        <v>2.0</v>
      </c>
      <c r="H39" s="119" t="s">
        <v>204</v>
      </c>
      <c r="I39" s="124" t="str">
        <f t="shared" si="1"/>
        <v/>
      </c>
      <c r="J39" s="119" t="s">
        <v>814</v>
      </c>
    </row>
    <row r="40">
      <c r="A40" s="119">
        <v>38.0</v>
      </c>
      <c r="B40" s="120" t="s">
        <v>816</v>
      </c>
      <c r="C40" s="125"/>
      <c r="D40" s="129" t="s">
        <v>343</v>
      </c>
      <c r="E40" s="128"/>
      <c r="F40" s="125"/>
      <c r="G40" s="119">
        <v>1.0</v>
      </c>
      <c r="H40" s="119" t="s">
        <v>813</v>
      </c>
      <c r="I40" s="124" t="str">
        <f t="shared" si="1"/>
        <v/>
      </c>
      <c r="J40" s="119" t="s">
        <v>814</v>
      </c>
    </row>
    <row r="41">
      <c r="A41" s="119">
        <v>39.0</v>
      </c>
      <c r="B41" s="120" t="s">
        <v>816</v>
      </c>
      <c r="C41" s="125"/>
      <c r="D41" s="129" t="s">
        <v>344</v>
      </c>
      <c r="E41" s="128"/>
      <c r="F41" s="125"/>
      <c r="G41" s="119">
        <v>2.0</v>
      </c>
      <c r="H41" s="119" t="s">
        <v>204</v>
      </c>
      <c r="I41" s="124" t="str">
        <f t="shared" si="1"/>
        <v/>
      </c>
      <c r="J41" s="119" t="s">
        <v>814</v>
      </c>
    </row>
    <row r="42">
      <c r="A42" s="119">
        <v>40.0</v>
      </c>
      <c r="B42" s="120" t="s">
        <v>816</v>
      </c>
      <c r="C42" s="120" t="s">
        <v>396</v>
      </c>
      <c r="D42" s="129" t="s">
        <v>397</v>
      </c>
      <c r="E42" s="128" t="s">
        <v>398</v>
      </c>
      <c r="F42" s="125"/>
      <c r="G42" s="119">
        <v>2.0</v>
      </c>
      <c r="H42" s="119" t="s">
        <v>393</v>
      </c>
      <c r="I42" s="124" t="str">
        <f t="shared" si="1"/>
        <v/>
      </c>
      <c r="J42" s="119" t="s">
        <v>814</v>
      </c>
    </row>
    <row r="43">
      <c r="A43" s="119"/>
      <c r="B43" s="120" t="s">
        <v>816</v>
      </c>
      <c r="C43" s="120"/>
      <c r="D43" s="129" t="s">
        <v>821</v>
      </c>
      <c r="E43" s="128"/>
      <c r="F43" s="125"/>
      <c r="G43" s="119"/>
      <c r="H43" s="119"/>
      <c r="I43" s="124"/>
      <c r="J43" s="119" t="s">
        <v>814</v>
      </c>
    </row>
    <row r="44">
      <c r="A44" s="119">
        <v>41.0</v>
      </c>
      <c r="B44" s="120" t="s">
        <v>822</v>
      </c>
      <c r="C44" s="125"/>
      <c r="D44" s="129" t="s">
        <v>345</v>
      </c>
      <c r="E44" s="128"/>
      <c r="F44" s="125"/>
      <c r="G44" s="119">
        <v>40.0</v>
      </c>
      <c r="H44" s="119" t="s">
        <v>204</v>
      </c>
      <c r="I44" s="124" t="str">
        <f t="shared" ref="I44:I45" si="2">IF(F44&lt;&gt;"",IF(F44&lt;G44,"เบิก",""),)</f>
        <v/>
      </c>
      <c r="J44" s="119" t="s">
        <v>814</v>
      </c>
    </row>
    <row r="45">
      <c r="A45" s="119">
        <v>42.0</v>
      </c>
      <c r="B45" s="120" t="s">
        <v>822</v>
      </c>
      <c r="C45" s="125"/>
      <c r="D45" s="130" t="s">
        <v>132</v>
      </c>
      <c r="E45" s="128"/>
      <c r="F45" s="125"/>
      <c r="G45" s="119">
        <v>5.0</v>
      </c>
      <c r="H45" s="119" t="s">
        <v>183</v>
      </c>
      <c r="I45" s="124" t="str">
        <f t="shared" si="2"/>
        <v/>
      </c>
      <c r="J45" s="119" t="s">
        <v>814</v>
      </c>
    </row>
    <row r="46">
      <c r="A46" s="119">
        <v>43.0</v>
      </c>
      <c r="B46" s="120" t="s">
        <v>822</v>
      </c>
      <c r="C46" s="125"/>
      <c r="D46" s="128" t="s">
        <v>352</v>
      </c>
      <c r="E46" s="128"/>
      <c r="F46" s="120"/>
      <c r="G46" s="119">
        <v>1.0</v>
      </c>
      <c r="H46" s="119" t="s">
        <v>818</v>
      </c>
      <c r="I46" s="124"/>
      <c r="J46" s="119" t="s">
        <v>814</v>
      </c>
    </row>
    <row r="47">
      <c r="A47" s="119">
        <v>44.0</v>
      </c>
      <c r="B47" s="120" t="s">
        <v>823</v>
      </c>
      <c r="C47" s="125"/>
      <c r="D47" s="128" t="s">
        <v>824</v>
      </c>
      <c r="E47" s="128" t="s">
        <v>825</v>
      </c>
      <c r="F47" s="120"/>
      <c r="G47" s="119">
        <v>2.0</v>
      </c>
      <c r="H47" s="119" t="s">
        <v>826</v>
      </c>
      <c r="I47" s="124" t="str">
        <f t="shared" ref="I47:I50" si="3">IF(F47&lt;&gt;"",IF(F47&lt;G47,"เบิก",""),)</f>
        <v/>
      </c>
      <c r="J47" s="119" t="s">
        <v>814</v>
      </c>
    </row>
    <row r="48">
      <c r="A48" s="119">
        <v>45.0</v>
      </c>
      <c r="B48" s="120" t="s">
        <v>823</v>
      </c>
      <c r="C48" s="125"/>
      <c r="D48" s="128" t="s">
        <v>827</v>
      </c>
      <c r="E48" s="128" t="s">
        <v>825</v>
      </c>
      <c r="F48" s="120"/>
      <c r="G48" s="119">
        <v>2.0</v>
      </c>
      <c r="H48" s="119" t="s">
        <v>826</v>
      </c>
      <c r="I48" s="124" t="str">
        <f t="shared" si="3"/>
        <v/>
      </c>
      <c r="J48" s="119" t="s">
        <v>814</v>
      </c>
    </row>
    <row r="49">
      <c r="A49" s="119">
        <v>46.0</v>
      </c>
      <c r="B49" s="120" t="s">
        <v>823</v>
      </c>
      <c r="C49" s="125"/>
      <c r="D49" s="128" t="s">
        <v>828</v>
      </c>
      <c r="E49" s="128" t="s">
        <v>825</v>
      </c>
      <c r="F49" s="120"/>
      <c r="G49" s="119">
        <v>2.0</v>
      </c>
      <c r="H49" s="119" t="s">
        <v>826</v>
      </c>
      <c r="I49" s="124" t="str">
        <f t="shared" si="3"/>
        <v/>
      </c>
      <c r="J49" s="119" t="s">
        <v>814</v>
      </c>
    </row>
    <row r="50">
      <c r="A50" s="119">
        <v>47.0</v>
      </c>
      <c r="B50" s="120" t="s">
        <v>823</v>
      </c>
      <c r="C50" s="125"/>
      <c r="D50" s="131" t="s">
        <v>829</v>
      </c>
      <c r="E50" s="128" t="s">
        <v>825</v>
      </c>
      <c r="F50" s="120"/>
      <c r="G50" s="119">
        <v>2.0</v>
      </c>
      <c r="H50" s="119" t="s">
        <v>826</v>
      </c>
      <c r="I50" s="124" t="str">
        <f t="shared" si="3"/>
        <v/>
      </c>
      <c r="J50" s="119" t="s">
        <v>814</v>
      </c>
    </row>
    <row r="51">
      <c r="A51" s="119">
        <v>48.0</v>
      </c>
      <c r="B51" s="120" t="s">
        <v>823</v>
      </c>
      <c r="C51" s="125"/>
      <c r="D51" s="131" t="s">
        <v>830</v>
      </c>
      <c r="E51" s="128" t="s">
        <v>825</v>
      </c>
      <c r="F51" s="120"/>
      <c r="G51" s="119">
        <v>1.0</v>
      </c>
      <c r="H51" s="119" t="s">
        <v>826</v>
      </c>
      <c r="I51" s="124"/>
      <c r="J51" s="119" t="s">
        <v>814</v>
      </c>
    </row>
    <row r="52">
      <c r="A52" s="119">
        <v>49.0</v>
      </c>
      <c r="B52" s="120" t="s">
        <v>823</v>
      </c>
      <c r="C52" s="125"/>
      <c r="D52" s="126" t="s">
        <v>831</v>
      </c>
      <c r="E52" s="126"/>
      <c r="F52" s="125"/>
      <c r="G52" s="119">
        <v>1.0</v>
      </c>
      <c r="H52" s="119" t="s">
        <v>813</v>
      </c>
      <c r="I52" s="124" t="str">
        <f t="shared" ref="I52:I1003" si="4">IF(F52&lt;&gt;"",IF(F52&lt;G52,"เบิก",""),)</f>
        <v/>
      </c>
      <c r="J52" s="119" t="s">
        <v>814</v>
      </c>
    </row>
    <row r="53">
      <c r="A53" s="119">
        <v>50.0</v>
      </c>
      <c r="B53" s="120" t="s">
        <v>823</v>
      </c>
      <c r="C53" s="125"/>
      <c r="D53" s="126" t="s">
        <v>832</v>
      </c>
      <c r="E53" s="126"/>
      <c r="F53" s="125"/>
      <c r="G53" s="119">
        <v>1.0</v>
      </c>
      <c r="H53" s="119" t="s">
        <v>813</v>
      </c>
      <c r="I53" s="124" t="str">
        <f t="shared" si="4"/>
        <v/>
      </c>
      <c r="J53" s="119" t="s">
        <v>814</v>
      </c>
    </row>
    <row r="54">
      <c r="A54" s="119">
        <v>51.0</v>
      </c>
      <c r="B54" s="120" t="s">
        <v>823</v>
      </c>
      <c r="C54" s="125"/>
      <c r="D54" s="126" t="s">
        <v>833</v>
      </c>
      <c r="E54" s="126"/>
      <c r="F54" s="125"/>
      <c r="G54" s="119">
        <v>1.0</v>
      </c>
      <c r="H54" s="119" t="s">
        <v>834</v>
      </c>
      <c r="I54" s="124" t="str">
        <f t="shared" si="4"/>
        <v/>
      </c>
      <c r="J54" s="119" t="s">
        <v>814</v>
      </c>
    </row>
    <row r="55">
      <c r="A55" s="119">
        <v>52.0</v>
      </c>
      <c r="B55" s="120" t="s">
        <v>823</v>
      </c>
      <c r="C55" s="125"/>
      <c r="D55" s="126" t="s">
        <v>835</v>
      </c>
      <c r="E55" s="126"/>
      <c r="F55" s="125"/>
      <c r="G55" s="119">
        <v>1.0</v>
      </c>
      <c r="H55" s="119" t="s">
        <v>813</v>
      </c>
      <c r="I55" s="124" t="str">
        <f t="shared" si="4"/>
        <v/>
      </c>
      <c r="J55" s="119" t="s">
        <v>814</v>
      </c>
    </row>
    <row r="56">
      <c r="A56" s="119">
        <v>53.0</v>
      </c>
      <c r="B56" s="120" t="s">
        <v>836</v>
      </c>
      <c r="C56" s="125"/>
      <c r="D56" s="126" t="s">
        <v>392</v>
      </c>
      <c r="E56" s="126"/>
      <c r="F56" s="125"/>
      <c r="G56" s="119"/>
      <c r="H56" s="119"/>
      <c r="I56" s="124" t="str">
        <f t="shared" si="4"/>
        <v/>
      </c>
      <c r="J56" s="119" t="s">
        <v>814</v>
      </c>
    </row>
    <row r="57">
      <c r="A57" s="119">
        <v>54.0</v>
      </c>
      <c r="B57" s="120" t="s">
        <v>836</v>
      </c>
      <c r="C57" s="120" t="s">
        <v>399</v>
      </c>
      <c r="D57" s="126" t="s">
        <v>400</v>
      </c>
      <c r="E57" s="126"/>
      <c r="F57" s="125"/>
      <c r="G57" s="119"/>
      <c r="H57" s="119"/>
      <c r="I57" s="124" t="str">
        <f t="shared" si="4"/>
        <v/>
      </c>
      <c r="J57" s="119" t="s">
        <v>814</v>
      </c>
    </row>
    <row r="58">
      <c r="A58" s="119">
        <v>55.0</v>
      </c>
      <c r="B58" s="120" t="s">
        <v>836</v>
      </c>
      <c r="C58" s="125"/>
      <c r="D58" s="132" t="s">
        <v>406</v>
      </c>
      <c r="E58" s="132"/>
      <c r="F58" s="125"/>
      <c r="G58" s="119"/>
      <c r="H58" s="119"/>
      <c r="I58" s="124" t="str">
        <f t="shared" si="4"/>
        <v/>
      </c>
      <c r="J58" s="119" t="s">
        <v>814</v>
      </c>
    </row>
    <row r="59">
      <c r="A59" s="119">
        <v>56.0</v>
      </c>
      <c r="B59" s="120" t="s">
        <v>836</v>
      </c>
      <c r="C59" s="125"/>
      <c r="D59" s="132" t="s">
        <v>409</v>
      </c>
      <c r="E59" s="132"/>
      <c r="F59" s="125"/>
      <c r="G59" s="119"/>
      <c r="H59" s="119"/>
      <c r="I59" s="124" t="str">
        <f t="shared" si="4"/>
        <v/>
      </c>
      <c r="J59" s="119" t="s">
        <v>814</v>
      </c>
    </row>
    <row r="60">
      <c r="A60" s="119">
        <v>57.0</v>
      </c>
      <c r="B60" s="120" t="s">
        <v>836</v>
      </c>
      <c r="C60" s="125"/>
      <c r="D60" s="126" t="s">
        <v>411</v>
      </c>
      <c r="E60" s="126"/>
      <c r="F60" s="125"/>
      <c r="G60" s="119"/>
      <c r="H60" s="119"/>
      <c r="I60" s="124" t="str">
        <f t="shared" si="4"/>
        <v/>
      </c>
      <c r="J60" s="119" t="s">
        <v>814</v>
      </c>
    </row>
    <row r="61">
      <c r="A61" s="119">
        <v>58.0</v>
      </c>
      <c r="B61" s="120" t="s">
        <v>836</v>
      </c>
      <c r="C61" s="125"/>
      <c r="D61" s="126" t="s">
        <v>394</v>
      </c>
      <c r="E61" s="126"/>
      <c r="F61" s="125"/>
      <c r="G61" s="119"/>
      <c r="H61" s="119"/>
      <c r="I61" s="124" t="str">
        <f t="shared" si="4"/>
        <v/>
      </c>
      <c r="J61" s="119" t="s">
        <v>814</v>
      </c>
    </row>
    <row r="62">
      <c r="A62" s="119">
        <v>59.0</v>
      </c>
      <c r="B62" s="120" t="s">
        <v>837</v>
      </c>
      <c r="C62" s="125"/>
      <c r="D62" s="126" t="s">
        <v>404</v>
      </c>
      <c r="E62" s="126"/>
      <c r="F62" s="125"/>
      <c r="G62" s="119"/>
      <c r="H62" s="119"/>
      <c r="I62" s="124" t="str">
        <f t="shared" si="4"/>
        <v/>
      </c>
      <c r="J62" s="119" t="s">
        <v>814</v>
      </c>
    </row>
    <row r="63">
      <c r="A63" s="119">
        <v>60.0</v>
      </c>
      <c r="B63" s="120" t="s">
        <v>837</v>
      </c>
      <c r="C63" s="125"/>
      <c r="D63" s="126" t="s">
        <v>413</v>
      </c>
      <c r="E63" s="126"/>
      <c r="F63" s="125"/>
      <c r="G63" s="119"/>
      <c r="H63" s="119"/>
      <c r="I63" s="124" t="str">
        <f t="shared" si="4"/>
        <v/>
      </c>
      <c r="J63" s="119" t="s">
        <v>814</v>
      </c>
    </row>
    <row r="64">
      <c r="A64" s="119">
        <v>61.0</v>
      </c>
      <c r="B64" s="120" t="s">
        <v>836</v>
      </c>
      <c r="C64" s="125"/>
      <c r="D64" s="126" t="s">
        <v>838</v>
      </c>
      <c r="E64" s="126"/>
      <c r="F64" s="125"/>
      <c r="G64" s="119"/>
      <c r="H64" s="119"/>
      <c r="I64" s="124" t="str">
        <f t="shared" si="4"/>
        <v/>
      </c>
      <c r="J64" s="119" t="s">
        <v>814</v>
      </c>
    </row>
    <row r="65">
      <c r="A65" s="119">
        <v>62.0</v>
      </c>
      <c r="B65" s="125"/>
      <c r="C65" s="125"/>
      <c r="D65" s="126"/>
      <c r="E65" s="126"/>
      <c r="F65" s="125"/>
      <c r="G65" s="119"/>
      <c r="H65" s="119"/>
      <c r="I65" s="124" t="str">
        <f t="shared" si="4"/>
        <v/>
      </c>
      <c r="J65" s="119" t="s">
        <v>814</v>
      </c>
    </row>
    <row r="66">
      <c r="A66" s="119">
        <v>63.0</v>
      </c>
      <c r="B66" s="125"/>
      <c r="C66" s="125"/>
      <c r="D66" s="126"/>
      <c r="E66" s="126"/>
      <c r="F66" s="125"/>
      <c r="G66" s="119"/>
      <c r="H66" s="119"/>
      <c r="I66" s="124" t="str">
        <f t="shared" si="4"/>
        <v/>
      </c>
      <c r="J66" s="119" t="s">
        <v>814</v>
      </c>
    </row>
    <row r="67">
      <c r="A67" s="119">
        <v>64.0</v>
      </c>
      <c r="B67" s="125"/>
      <c r="C67" s="125"/>
      <c r="D67" s="126"/>
      <c r="E67" s="126"/>
      <c r="F67" s="125"/>
      <c r="G67" s="119"/>
      <c r="H67" s="119"/>
      <c r="I67" s="124" t="str">
        <f t="shared" si="4"/>
        <v/>
      </c>
      <c r="J67" s="119" t="s">
        <v>814</v>
      </c>
    </row>
    <row r="68">
      <c r="A68" s="119">
        <v>65.0</v>
      </c>
      <c r="B68" s="125"/>
      <c r="C68" s="125"/>
      <c r="D68" s="126"/>
      <c r="E68" s="126"/>
      <c r="F68" s="125"/>
      <c r="G68" s="119"/>
      <c r="H68" s="119"/>
      <c r="I68" s="124" t="str">
        <f t="shared" si="4"/>
        <v/>
      </c>
      <c r="J68" s="119" t="s">
        <v>814</v>
      </c>
    </row>
    <row r="69">
      <c r="A69" s="119">
        <v>66.0</v>
      </c>
      <c r="B69" s="125"/>
      <c r="C69" s="125"/>
      <c r="D69" s="126"/>
      <c r="E69" s="126"/>
      <c r="F69" s="125"/>
      <c r="G69" s="119"/>
      <c r="H69" s="119"/>
      <c r="I69" s="124" t="str">
        <f t="shared" si="4"/>
        <v/>
      </c>
      <c r="J69" s="119" t="s">
        <v>814</v>
      </c>
    </row>
    <row r="70">
      <c r="A70" s="119">
        <v>67.0</v>
      </c>
      <c r="B70" s="125"/>
      <c r="C70" s="125"/>
      <c r="D70" s="126"/>
      <c r="E70" s="126"/>
      <c r="F70" s="125"/>
      <c r="G70" s="119"/>
      <c r="H70" s="119"/>
      <c r="I70" s="124" t="str">
        <f t="shared" si="4"/>
        <v/>
      </c>
      <c r="J70" s="119" t="s">
        <v>814</v>
      </c>
    </row>
    <row r="71">
      <c r="A71" s="119">
        <v>68.0</v>
      </c>
      <c r="B71" s="125"/>
      <c r="C71" s="125"/>
      <c r="D71" s="126"/>
      <c r="E71" s="126"/>
      <c r="F71" s="125"/>
      <c r="G71" s="119"/>
      <c r="H71" s="119"/>
      <c r="I71" s="124" t="str">
        <f t="shared" si="4"/>
        <v/>
      </c>
      <c r="J71" s="119" t="s">
        <v>814</v>
      </c>
    </row>
    <row r="72">
      <c r="A72" s="119">
        <v>69.0</v>
      </c>
      <c r="B72" s="125"/>
      <c r="C72" s="125"/>
      <c r="D72" s="126"/>
      <c r="E72" s="126"/>
      <c r="F72" s="125"/>
      <c r="G72" s="119"/>
      <c r="H72" s="119"/>
      <c r="I72" s="124" t="str">
        <f t="shared" si="4"/>
        <v/>
      </c>
      <c r="J72" s="119" t="s">
        <v>814</v>
      </c>
    </row>
    <row r="73">
      <c r="A73" s="119">
        <v>70.0</v>
      </c>
      <c r="B73" s="125"/>
      <c r="C73" s="125"/>
      <c r="D73" s="126"/>
      <c r="E73" s="126"/>
      <c r="F73" s="125"/>
      <c r="G73" s="119"/>
      <c r="H73" s="119"/>
      <c r="I73" s="124" t="str">
        <f t="shared" si="4"/>
        <v/>
      </c>
      <c r="J73" s="119" t="s">
        <v>814</v>
      </c>
    </row>
    <row r="74">
      <c r="A74" s="119">
        <v>71.0</v>
      </c>
      <c r="B74" s="125"/>
      <c r="C74" s="125"/>
      <c r="D74" s="126"/>
      <c r="E74" s="126"/>
      <c r="F74" s="125"/>
      <c r="G74" s="119"/>
      <c r="H74" s="119"/>
      <c r="I74" s="124" t="str">
        <f t="shared" si="4"/>
        <v/>
      </c>
      <c r="J74" s="119" t="s">
        <v>814</v>
      </c>
    </row>
    <row r="75">
      <c r="A75" s="119">
        <v>72.0</v>
      </c>
      <c r="B75" s="125"/>
      <c r="C75" s="125"/>
      <c r="D75" s="126"/>
      <c r="E75" s="126"/>
      <c r="F75" s="125"/>
      <c r="G75" s="119"/>
      <c r="H75" s="119"/>
      <c r="I75" s="124" t="str">
        <f t="shared" si="4"/>
        <v/>
      </c>
      <c r="J75" s="119" t="s">
        <v>814</v>
      </c>
    </row>
    <row r="76">
      <c r="A76" s="119">
        <v>73.0</v>
      </c>
      <c r="B76" s="125"/>
      <c r="C76" s="125"/>
      <c r="D76" s="126"/>
      <c r="E76" s="126"/>
      <c r="F76" s="125"/>
      <c r="G76" s="119"/>
      <c r="H76" s="119"/>
      <c r="I76" s="124" t="str">
        <f t="shared" si="4"/>
        <v/>
      </c>
      <c r="J76" s="119" t="s">
        <v>814</v>
      </c>
    </row>
    <row r="77">
      <c r="A77" s="119">
        <v>74.0</v>
      </c>
      <c r="B77" s="125"/>
      <c r="C77" s="125"/>
      <c r="D77" s="126"/>
      <c r="E77" s="126"/>
      <c r="F77" s="125"/>
      <c r="G77" s="119"/>
      <c r="H77" s="119"/>
      <c r="I77" s="124" t="str">
        <f t="shared" si="4"/>
        <v/>
      </c>
      <c r="J77" s="119" t="s">
        <v>814</v>
      </c>
    </row>
    <row r="78">
      <c r="A78" s="119">
        <v>75.0</v>
      </c>
      <c r="B78" s="125"/>
      <c r="C78" s="125"/>
      <c r="D78" s="126"/>
      <c r="E78" s="126"/>
      <c r="F78" s="125"/>
      <c r="G78" s="119"/>
      <c r="H78" s="119"/>
      <c r="I78" s="124" t="str">
        <f t="shared" si="4"/>
        <v/>
      </c>
      <c r="J78" s="119" t="s">
        <v>814</v>
      </c>
    </row>
    <row r="79">
      <c r="A79" s="119">
        <v>76.0</v>
      </c>
      <c r="B79" s="125"/>
      <c r="C79" s="125"/>
      <c r="D79" s="126"/>
      <c r="E79" s="126"/>
      <c r="F79" s="125"/>
      <c r="G79" s="119"/>
      <c r="H79" s="119"/>
      <c r="I79" s="124" t="str">
        <f t="shared" si="4"/>
        <v/>
      </c>
      <c r="J79" s="119" t="s">
        <v>814</v>
      </c>
    </row>
    <row r="80">
      <c r="A80" s="119">
        <v>77.0</v>
      </c>
      <c r="B80" s="125"/>
      <c r="C80" s="125"/>
      <c r="D80" s="126"/>
      <c r="E80" s="126"/>
      <c r="F80" s="125"/>
      <c r="G80" s="119"/>
      <c r="H80" s="119"/>
      <c r="I80" s="124" t="str">
        <f t="shared" si="4"/>
        <v/>
      </c>
      <c r="J80" s="119" t="s">
        <v>814</v>
      </c>
    </row>
    <row r="81">
      <c r="A81" s="119">
        <v>78.0</v>
      </c>
      <c r="B81" s="125"/>
      <c r="C81" s="125"/>
      <c r="D81" s="126"/>
      <c r="E81" s="126"/>
      <c r="F81" s="125"/>
      <c r="G81" s="119"/>
      <c r="H81" s="119"/>
      <c r="I81" s="124" t="str">
        <f t="shared" si="4"/>
        <v/>
      </c>
      <c r="J81" s="119" t="s">
        <v>814</v>
      </c>
    </row>
    <row r="82">
      <c r="A82" s="119">
        <v>79.0</v>
      </c>
      <c r="B82" s="125"/>
      <c r="C82" s="125"/>
      <c r="D82" s="126"/>
      <c r="E82" s="126"/>
      <c r="F82" s="125"/>
      <c r="G82" s="119"/>
      <c r="H82" s="119"/>
      <c r="I82" s="124" t="str">
        <f t="shared" si="4"/>
        <v/>
      </c>
      <c r="J82" s="119" t="s">
        <v>814</v>
      </c>
    </row>
    <row r="83">
      <c r="A83" s="119">
        <v>80.0</v>
      </c>
      <c r="B83" s="125"/>
      <c r="C83" s="125"/>
      <c r="D83" s="126"/>
      <c r="E83" s="126"/>
      <c r="F83" s="125"/>
      <c r="G83" s="119"/>
      <c r="H83" s="119"/>
      <c r="I83" s="124" t="str">
        <f t="shared" si="4"/>
        <v/>
      </c>
      <c r="J83" s="119" t="s">
        <v>814</v>
      </c>
    </row>
    <row r="84">
      <c r="A84" s="119">
        <v>81.0</v>
      </c>
      <c r="B84" s="125"/>
      <c r="C84" s="125"/>
      <c r="D84" s="126"/>
      <c r="E84" s="126"/>
      <c r="F84" s="125"/>
      <c r="G84" s="119"/>
      <c r="H84" s="119"/>
      <c r="I84" s="124" t="str">
        <f t="shared" si="4"/>
        <v/>
      </c>
      <c r="J84" s="119" t="s">
        <v>814</v>
      </c>
    </row>
    <row r="85">
      <c r="A85" s="119">
        <v>82.0</v>
      </c>
      <c r="B85" s="125"/>
      <c r="C85" s="125"/>
      <c r="D85" s="126"/>
      <c r="E85" s="126"/>
      <c r="F85" s="125"/>
      <c r="G85" s="119"/>
      <c r="H85" s="119"/>
      <c r="I85" s="124" t="str">
        <f t="shared" si="4"/>
        <v/>
      </c>
      <c r="J85" s="119" t="s">
        <v>814</v>
      </c>
    </row>
    <row r="86">
      <c r="A86" s="119">
        <v>83.0</v>
      </c>
      <c r="B86" s="125"/>
      <c r="C86" s="125"/>
      <c r="D86" s="126"/>
      <c r="E86" s="126"/>
      <c r="F86" s="125"/>
      <c r="G86" s="119"/>
      <c r="H86" s="119"/>
      <c r="I86" s="124" t="str">
        <f t="shared" si="4"/>
        <v/>
      </c>
      <c r="J86" s="119" t="s">
        <v>814</v>
      </c>
    </row>
    <row r="87">
      <c r="A87" s="119">
        <v>84.0</v>
      </c>
      <c r="B87" s="125"/>
      <c r="C87" s="125"/>
      <c r="D87" s="126"/>
      <c r="E87" s="126"/>
      <c r="F87" s="125"/>
      <c r="G87" s="119"/>
      <c r="H87" s="119"/>
      <c r="I87" s="124" t="str">
        <f t="shared" si="4"/>
        <v/>
      </c>
      <c r="J87" s="119" t="s">
        <v>814</v>
      </c>
    </row>
    <row r="88">
      <c r="A88" s="119">
        <v>85.0</v>
      </c>
      <c r="B88" s="125"/>
      <c r="C88" s="125"/>
      <c r="D88" s="126"/>
      <c r="E88" s="126"/>
      <c r="F88" s="125"/>
      <c r="G88" s="119"/>
      <c r="H88" s="119"/>
      <c r="I88" s="124" t="str">
        <f t="shared" si="4"/>
        <v/>
      </c>
      <c r="J88" s="119" t="s">
        <v>814</v>
      </c>
    </row>
    <row r="89">
      <c r="A89" s="119">
        <v>86.0</v>
      </c>
      <c r="B89" s="125"/>
      <c r="C89" s="125"/>
      <c r="D89" s="126"/>
      <c r="E89" s="126"/>
      <c r="F89" s="125"/>
      <c r="G89" s="119"/>
      <c r="H89" s="119"/>
      <c r="I89" s="124" t="str">
        <f t="shared" si="4"/>
        <v/>
      </c>
      <c r="J89" s="119" t="s">
        <v>814</v>
      </c>
    </row>
    <row r="90">
      <c r="A90" s="119">
        <v>87.0</v>
      </c>
      <c r="B90" s="125"/>
      <c r="C90" s="125"/>
      <c r="D90" s="126"/>
      <c r="E90" s="126"/>
      <c r="F90" s="125"/>
      <c r="G90" s="119"/>
      <c r="H90" s="119"/>
      <c r="I90" s="124" t="str">
        <f t="shared" si="4"/>
        <v/>
      </c>
      <c r="J90" s="119" t="s">
        <v>814</v>
      </c>
    </row>
    <row r="91">
      <c r="A91" s="119">
        <v>88.0</v>
      </c>
      <c r="B91" s="125"/>
      <c r="C91" s="125"/>
      <c r="D91" s="126"/>
      <c r="E91" s="126"/>
      <c r="F91" s="125"/>
      <c r="G91" s="119"/>
      <c r="H91" s="119"/>
      <c r="I91" s="124" t="str">
        <f t="shared" si="4"/>
        <v/>
      </c>
      <c r="J91" s="119" t="s">
        <v>814</v>
      </c>
    </row>
    <row r="92">
      <c r="A92" s="119">
        <v>89.0</v>
      </c>
      <c r="B92" s="125"/>
      <c r="C92" s="125"/>
      <c r="D92" s="126"/>
      <c r="E92" s="126"/>
      <c r="F92" s="125"/>
      <c r="G92" s="119"/>
      <c r="H92" s="119"/>
      <c r="I92" s="124" t="str">
        <f t="shared" si="4"/>
        <v/>
      </c>
      <c r="J92" s="119" t="s">
        <v>814</v>
      </c>
    </row>
    <row r="93">
      <c r="A93" s="119">
        <v>90.0</v>
      </c>
      <c r="B93" s="125"/>
      <c r="C93" s="125"/>
      <c r="D93" s="126"/>
      <c r="E93" s="126"/>
      <c r="F93" s="125"/>
      <c r="G93" s="119"/>
      <c r="H93" s="119"/>
      <c r="I93" s="124" t="str">
        <f t="shared" si="4"/>
        <v/>
      </c>
      <c r="J93" s="119" t="s">
        <v>814</v>
      </c>
    </row>
    <row r="94">
      <c r="A94" s="125"/>
      <c r="B94" s="125"/>
      <c r="C94" s="125"/>
      <c r="D94" s="125"/>
      <c r="E94" s="125"/>
      <c r="F94" s="125"/>
      <c r="G94" s="125"/>
      <c r="H94" s="125"/>
      <c r="I94" s="124" t="str">
        <f t="shared" si="4"/>
        <v/>
      </c>
      <c r="J94" s="119" t="s">
        <v>814</v>
      </c>
    </row>
    <row r="95">
      <c r="A95" s="125"/>
      <c r="B95" s="125"/>
      <c r="C95" s="125"/>
      <c r="D95" s="125"/>
      <c r="E95" s="125"/>
      <c r="F95" s="125"/>
      <c r="G95" s="125"/>
      <c r="H95" s="125"/>
      <c r="I95" s="124" t="str">
        <f t="shared" si="4"/>
        <v/>
      </c>
      <c r="J95" s="119" t="s">
        <v>814</v>
      </c>
    </row>
    <row r="96">
      <c r="A96" s="125"/>
      <c r="B96" s="125"/>
      <c r="C96" s="125"/>
      <c r="D96" s="125"/>
      <c r="E96" s="125"/>
      <c r="F96" s="125"/>
      <c r="G96" s="125"/>
      <c r="H96" s="125"/>
      <c r="I96" s="124" t="str">
        <f t="shared" si="4"/>
        <v/>
      </c>
      <c r="J96" s="119" t="s">
        <v>814</v>
      </c>
    </row>
    <row r="97">
      <c r="A97" s="125"/>
      <c r="B97" s="125"/>
      <c r="C97" s="125"/>
      <c r="D97" s="125"/>
      <c r="E97" s="125"/>
      <c r="F97" s="125"/>
      <c r="G97" s="125"/>
      <c r="H97" s="125"/>
      <c r="I97" s="124" t="str">
        <f t="shared" si="4"/>
        <v/>
      </c>
      <c r="J97" s="119" t="s">
        <v>814</v>
      </c>
    </row>
    <row r="98">
      <c r="A98" s="125"/>
      <c r="B98" s="125"/>
      <c r="C98" s="125"/>
      <c r="D98" s="125"/>
      <c r="E98" s="125"/>
      <c r="F98" s="125"/>
      <c r="G98" s="125"/>
      <c r="H98" s="125"/>
      <c r="I98" s="124" t="str">
        <f t="shared" si="4"/>
        <v/>
      </c>
      <c r="J98" s="119" t="s">
        <v>814</v>
      </c>
    </row>
    <row r="99">
      <c r="A99" s="125"/>
      <c r="B99" s="125"/>
      <c r="C99" s="125"/>
      <c r="D99" s="125"/>
      <c r="E99" s="125"/>
      <c r="F99" s="125"/>
      <c r="G99" s="125"/>
      <c r="H99" s="125"/>
      <c r="I99" s="124" t="str">
        <f t="shared" si="4"/>
        <v/>
      </c>
      <c r="J99" s="119" t="s">
        <v>814</v>
      </c>
    </row>
    <row r="100">
      <c r="A100" s="125"/>
      <c r="B100" s="125"/>
      <c r="C100" s="125"/>
      <c r="D100" s="125"/>
      <c r="E100" s="125"/>
      <c r="F100" s="125"/>
      <c r="G100" s="125"/>
      <c r="H100" s="125"/>
      <c r="I100" s="124" t="str">
        <f t="shared" si="4"/>
        <v/>
      </c>
      <c r="J100" s="119" t="s">
        <v>814</v>
      </c>
    </row>
    <row r="101">
      <c r="A101" s="125"/>
      <c r="B101" s="125"/>
      <c r="C101" s="125"/>
      <c r="D101" s="125"/>
      <c r="E101" s="125"/>
      <c r="F101" s="125"/>
      <c r="G101" s="125"/>
      <c r="H101" s="125"/>
      <c r="I101" s="124" t="str">
        <f t="shared" si="4"/>
        <v/>
      </c>
      <c r="J101" s="119" t="s">
        <v>814</v>
      </c>
    </row>
    <row r="102">
      <c r="A102" s="125"/>
      <c r="B102" s="125"/>
      <c r="C102" s="125"/>
      <c r="D102" s="125"/>
      <c r="E102" s="125"/>
      <c r="F102" s="125"/>
      <c r="G102" s="125"/>
      <c r="H102" s="125"/>
      <c r="I102" s="124" t="str">
        <f t="shared" si="4"/>
        <v/>
      </c>
      <c r="J102" s="119" t="s">
        <v>814</v>
      </c>
    </row>
    <row r="103">
      <c r="A103" s="125"/>
      <c r="B103" s="125"/>
      <c r="C103" s="125"/>
      <c r="D103" s="125"/>
      <c r="E103" s="125"/>
      <c r="F103" s="125"/>
      <c r="G103" s="125"/>
      <c r="H103" s="125"/>
      <c r="I103" s="124" t="str">
        <f t="shared" si="4"/>
        <v/>
      </c>
      <c r="J103" s="119" t="s">
        <v>814</v>
      </c>
    </row>
    <row r="104">
      <c r="A104" s="125"/>
      <c r="B104" s="125"/>
      <c r="C104" s="125"/>
      <c r="D104" s="125"/>
      <c r="E104" s="125"/>
      <c r="F104" s="125"/>
      <c r="G104" s="125"/>
      <c r="H104" s="125"/>
      <c r="I104" s="124" t="str">
        <f t="shared" si="4"/>
        <v/>
      </c>
      <c r="J104" s="119" t="s">
        <v>814</v>
      </c>
    </row>
    <row r="105">
      <c r="A105" s="125"/>
      <c r="B105" s="125"/>
      <c r="C105" s="125"/>
      <c r="D105" s="125"/>
      <c r="E105" s="125"/>
      <c r="F105" s="125"/>
      <c r="G105" s="125"/>
      <c r="H105" s="125"/>
      <c r="I105" s="124" t="str">
        <f t="shared" si="4"/>
        <v/>
      </c>
      <c r="J105" s="119" t="s">
        <v>814</v>
      </c>
    </row>
    <row r="106">
      <c r="A106" s="125"/>
      <c r="B106" s="125"/>
      <c r="C106" s="125"/>
      <c r="D106" s="125"/>
      <c r="E106" s="125"/>
      <c r="F106" s="125"/>
      <c r="G106" s="125"/>
      <c r="H106" s="125"/>
      <c r="I106" s="124" t="str">
        <f t="shared" si="4"/>
        <v/>
      </c>
      <c r="J106" s="119" t="s">
        <v>814</v>
      </c>
    </row>
    <row r="107">
      <c r="A107" s="125"/>
      <c r="B107" s="125"/>
      <c r="C107" s="125"/>
      <c r="D107" s="125"/>
      <c r="E107" s="125"/>
      <c r="F107" s="125"/>
      <c r="G107" s="125"/>
      <c r="H107" s="125"/>
      <c r="I107" s="124" t="str">
        <f t="shared" si="4"/>
        <v/>
      </c>
      <c r="J107" s="119" t="s">
        <v>814</v>
      </c>
    </row>
    <row r="108">
      <c r="A108" s="125"/>
      <c r="B108" s="125"/>
      <c r="C108" s="125"/>
      <c r="D108" s="125"/>
      <c r="E108" s="125"/>
      <c r="F108" s="125"/>
      <c r="G108" s="125"/>
      <c r="H108" s="125"/>
      <c r="I108" s="124" t="str">
        <f t="shared" si="4"/>
        <v/>
      </c>
      <c r="J108" s="119" t="s">
        <v>814</v>
      </c>
    </row>
    <row r="109">
      <c r="A109" s="125"/>
      <c r="B109" s="125"/>
      <c r="C109" s="125"/>
      <c r="D109" s="125"/>
      <c r="E109" s="125"/>
      <c r="F109" s="125"/>
      <c r="G109" s="125"/>
      <c r="H109" s="125"/>
      <c r="I109" s="124" t="str">
        <f t="shared" si="4"/>
        <v/>
      </c>
      <c r="J109" s="119" t="s">
        <v>814</v>
      </c>
    </row>
    <row r="110">
      <c r="A110" s="125"/>
      <c r="B110" s="125"/>
      <c r="C110" s="125"/>
      <c r="D110" s="125"/>
      <c r="E110" s="125"/>
      <c r="F110" s="125"/>
      <c r="G110" s="125"/>
      <c r="H110" s="125"/>
      <c r="I110" s="124" t="str">
        <f t="shared" si="4"/>
        <v/>
      </c>
      <c r="J110" s="119" t="s">
        <v>814</v>
      </c>
    </row>
    <row r="111">
      <c r="A111" s="125"/>
      <c r="B111" s="125"/>
      <c r="C111" s="125"/>
      <c r="D111" s="125"/>
      <c r="E111" s="125"/>
      <c r="F111" s="125"/>
      <c r="G111" s="125"/>
      <c r="H111" s="125"/>
      <c r="I111" s="124" t="str">
        <f t="shared" si="4"/>
        <v/>
      </c>
      <c r="J111" s="119" t="s">
        <v>814</v>
      </c>
    </row>
    <row r="112">
      <c r="A112" s="125"/>
      <c r="B112" s="125"/>
      <c r="C112" s="125"/>
      <c r="D112" s="125"/>
      <c r="E112" s="125"/>
      <c r="F112" s="125"/>
      <c r="G112" s="125"/>
      <c r="H112" s="125"/>
      <c r="I112" s="124" t="str">
        <f t="shared" si="4"/>
        <v/>
      </c>
      <c r="J112" s="119" t="s">
        <v>814</v>
      </c>
    </row>
    <row r="113">
      <c r="A113" s="125"/>
      <c r="B113" s="125"/>
      <c r="C113" s="125"/>
      <c r="D113" s="125"/>
      <c r="E113" s="125"/>
      <c r="F113" s="125"/>
      <c r="G113" s="125"/>
      <c r="H113" s="125"/>
      <c r="I113" s="124" t="str">
        <f t="shared" si="4"/>
        <v/>
      </c>
      <c r="J113" s="119" t="s">
        <v>814</v>
      </c>
    </row>
    <row r="114">
      <c r="A114" s="125"/>
      <c r="B114" s="125"/>
      <c r="C114" s="125"/>
      <c r="D114" s="125"/>
      <c r="E114" s="125"/>
      <c r="F114" s="125"/>
      <c r="G114" s="125"/>
      <c r="H114" s="125"/>
      <c r="I114" s="124" t="str">
        <f t="shared" si="4"/>
        <v/>
      </c>
      <c r="J114" s="119" t="s">
        <v>814</v>
      </c>
    </row>
    <row r="115">
      <c r="A115" s="125"/>
      <c r="B115" s="125"/>
      <c r="C115" s="125"/>
      <c r="D115" s="125"/>
      <c r="E115" s="125"/>
      <c r="F115" s="125"/>
      <c r="G115" s="125"/>
      <c r="H115" s="125"/>
      <c r="I115" s="124" t="str">
        <f t="shared" si="4"/>
        <v/>
      </c>
      <c r="J115" s="119" t="s">
        <v>814</v>
      </c>
    </row>
    <row r="116">
      <c r="A116" s="125"/>
      <c r="B116" s="125"/>
      <c r="C116" s="125"/>
      <c r="D116" s="125"/>
      <c r="E116" s="125"/>
      <c r="F116" s="125"/>
      <c r="G116" s="125"/>
      <c r="H116" s="125"/>
      <c r="I116" s="124" t="str">
        <f t="shared" si="4"/>
        <v/>
      </c>
      <c r="J116" s="119" t="s">
        <v>814</v>
      </c>
    </row>
    <row r="117">
      <c r="A117" s="125"/>
      <c r="B117" s="125"/>
      <c r="C117" s="125"/>
      <c r="D117" s="125"/>
      <c r="E117" s="125"/>
      <c r="F117" s="125"/>
      <c r="G117" s="125"/>
      <c r="H117" s="125"/>
      <c r="I117" s="124" t="str">
        <f t="shared" si="4"/>
        <v/>
      </c>
      <c r="J117" s="119" t="s">
        <v>814</v>
      </c>
    </row>
    <row r="118">
      <c r="A118" s="125"/>
      <c r="B118" s="125"/>
      <c r="C118" s="125"/>
      <c r="D118" s="125"/>
      <c r="E118" s="125"/>
      <c r="F118" s="125"/>
      <c r="G118" s="125"/>
      <c r="H118" s="125"/>
      <c r="I118" s="124" t="str">
        <f t="shared" si="4"/>
        <v/>
      </c>
      <c r="J118" s="119" t="s">
        <v>814</v>
      </c>
    </row>
    <row r="119">
      <c r="A119" s="125"/>
      <c r="B119" s="125"/>
      <c r="C119" s="125"/>
      <c r="D119" s="125"/>
      <c r="E119" s="125"/>
      <c r="F119" s="125"/>
      <c r="G119" s="125"/>
      <c r="H119" s="125"/>
      <c r="I119" s="124" t="str">
        <f t="shared" si="4"/>
        <v/>
      </c>
      <c r="J119" s="119" t="s">
        <v>814</v>
      </c>
    </row>
    <row r="120">
      <c r="A120" s="125"/>
      <c r="B120" s="125"/>
      <c r="C120" s="125"/>
      <c r="D120" s="125"/>
      <c r="E120" s="125"/>
      <c r="F120" s="125"/>
      <c r="G120" s="125"/>
      <c r="H120" s="125"/>
      <c r="I120" s="124" t="str">
        <f t="shared" si="4"/>
        <v/>
      </c>
      <c r="J120" s="119" t="s">
        <v>814</v>
      </c>
    </row>
    <row r="121">
      <c r="A121" s="125"/>
      <c r="B121" s="125"/>
      <c r="C121" s="125"/>
      <c r="D121" s="125"/>
      <c r="E121" s="125"/>
      <c r="F121" s="125"/>
      <c r="G121" s="125"/>
      <c r="H121" s="125"/>
      <c r="I121" s="124" t="str">
        <f t="shared" si="4"/>
        <v/>
      </c>
      <c r="J121" s="119" t="s">
        <v>814</v>
      </c>
    </row>
    <row r="122">
      <c r="A122" s="125"/>
      <c r="B122" s="125"/>
      <c r="C122" s="125"/>
      <c r="D122" s="125"/>
      <c r="E122" s="125"/>
      <c r="F122" s="125"/>
      <c r="G122" s="125"/>
      <c r="H122" s="125"/>
      <c r="I122" s="124" t="str">
        <f t="shared" si="4"/>
        <v/>
      </c>
      <c r="J122" s="119" t="s">
        <v>814</v>
      </c>
    </row>
    <row r="123">
      <c r="A123" s="125"/>
      <c r="B123" s="125"/>
      <c r="C123" s="125"/>
      <c r="D123" s="125"/>
      <c r="E123" s="125"/>
      <c r="F123" s="125"/>
      <c r="G123" s="125"/>
      <c r="H123" s="125"/>
      <c r="I123" s="124" t="str">
        <f t="shared" si="4"/>
        <v/>
      </c>
      <c r="J123" s="119" t="s">
        <v>814</v>
      </c>
    </row>
    <row r="124">
      <c r="A124" s="125"/>
      <c r="B124" s="125"/>
      <c r="C124" s="125"/>
      <c r="D124" s="125"/>
      <c r="E124" s="125"/>
      <c r="F124" s="125"/>
      <c r="G124" s="125"/>
      <c r="H124" s="125"/>
      <c r="I124" s="124" t="str">
        <f t="shared" si="4"/>
        <v/>
      </c>
      <c r="J124" s="119" t="s">
        <v>814</v>
      </c>
    </row>
    <row r="125">
      <c r="A125" s="125"/>
      <c r="B125" s="125"/>
      <c r="C125" s="125"/>
      <c r="D125" s="125"/>
      <c r="E125" s="125"/>
      <c r="F125" s="125"/>
      <c r="G125" s="125"/>
      <c r="H125" s="125"/>
      <c r="I125" s="124" t="str">
        <f t="shared" si="4"/>
        <v/>
      </c>
      <c r="J125" s="119" t="s">
        <v>814</v>
      </c>
    </row>
    <row r="126">
      <c r="A126" s="125"/>
      <c r="B126" s="125"/>
      <c r="C126" s="125"/>
      <c r="D126" s="125"/>
      <c r="E126" s="125"/>
      <c r="F126" s="125"/>
      <c r="G126" s="125"/>
      <c r="H126" s="125"/>
      <c r="I126" s="124" t="str">
        <f t="shared" si="4"/>
        <v/>
      </c>
      <c r="J126" s="119" t="s">
        <v>814</v>
      </c>
    </row>
    <row r="127">
      <c r="A127" s="125"/>
      <c r="B127" s="125"/>
      <c r="C127" s="125"/>
      <c r="D127" s="125"/>
      <c r="E127" s="125"/>
      <c r="F127" s="125"/>
      <c r="G127" s="125"/>
      <c r="H127" s="125"/>
      <c r="I127" s="124" t="str">
        <f t="shared" si="4"/>
        <v/>
      </c>
      <c r="J127" s="119" t="s">
        <v>814</v>
      </c>
    </row>
    <row r="128">
      <c r="A128" s="125"/>
      <c r="B128" s="125"/>
      <c r="C128" s="125"/>
      <c r="D128" s="125"/>
      <c r="E128" s="125"/>
      <c r="F128" s="125"/>
      <c r="G128" s="125"/>
      <c r="H128" s="125"/>
      <c r="I128" s="124" t="str">
        <f t="shared" si="4"/>
        <v/>
      </c>
      <c r="J128" s="119" t="s">
        <v>814</v>
      </c>
    </row>
    <row r="129">
      <c r="A129" s="125"/>
      <c r="B129" s="125"/>
      <c r="C129" s="125"/>
      <c r="D129" s="125"/>
      <c r="E129" s="125"/>
      <c r="F129" s="125"/>
      <c r="G129" s="125"/>
      <c r="H129" s="125"/>
      <c r="I129" s="124" t="str">
        <f t="shared" si="4"/>
        <v/>
      </c>
      <c r="J129" s="119" t="s">
        <v>814</v>
      </c>
    </row>
    <row r="130">
      <c r="A130" s="125"/>
      <c r="B130" s="125"/>
      <c r="C130" s="125"/>
      <c r="D130" s="125"/>
      <c r="E130" s="125"/>
      <c r="F130" s="125"/>
      <c r="G130" s="125"/>
      <c r="H130" s="125"/>
      <c r="I130" s="124" t="str">
        <f t="shared" si="4"/>
        <v/>
      </c>
      <c r="J130" s="119" t="s">
        <v>814</v>
      </c>
    </row>
    <row r="131">
      <c r="A131" s="125"/>
      <c r="B131" s="125"/>
      <c r="C131" s="125"/>
      <c r="D131" s="125"/>
      <c r="E131" s="125"/>
      <c r="F131" s="125"/>
      <c r="G131" s="125"/>
      <c r="H131" s="125"/>
      <c r="I131" s="124" t="str">
        <f t="shared" si="4"/>
        <v/>
      </c>
      <c r="J131" s="119" t="s">
        <v>814</v>
      </c>
    </row>
    <row r="132">
      <c r="A132" s="125"/>
      <c r="B132" s="125"/>
      <c r="C132" s="125"/>
      <c r="D132" s="125"/>
      <c r="E132" s="125"/>
      <c r="F132" s="125"/>
      <c r="G132" s="125"/>
      <c r="H132" s="125"/>
      <c r="I132" s="124" t="str">
        <f t="shared" si="4"/>
        <v/>
      </c>
      <c r="J132" s="119" t="s">
        <v>814</v>
      </c>
    </row>
    <row r="133">
      <c r="A133" s="125"/>
      <c r="B133" s="125"/>
      <c r="C133" s="125"/>
      <c r="D133" s="125"/>
      <c r="E133" s="125"/>
      <c r="F133" s="125"/>
      <c r="G133" s="125"/>
      <c r="H133" s="125"/>
      <c r="I133" s="124" t="str">
        <f t="shared" si="4"/>
        <v/>
      </c>
      <c r="J133" s="119" t="s">
        <v>814</v>
      </c>
    </row>
    <row r="134">
      <c r="A134" s="125"/>
      <c r="B134" s="125"/>
      <c r="C134" s="125"/>
      <c r="D134" s="125"/>
      <c r="E134" s="125"/>
      <c r="F134" s="125"/>
      <c r="G134" s="125"/>
      <c r="H134" s="125"/>
      <c r="I134" s="124" t="str">
        <f t="shared" si="4"/>
        <v/>
      </c>
      <c r="J134" s="119" t="s">
        <v>814</v>
      </c>
    </row>
    <row r="135">
      <c r="A135" s="125"/>
      <c r="B135" s="125"/>
      <c r="C135" s="125"/>
      <c r="D135" s="125"/>
      <c r="E135" s="125"/>
      <c r="F135" s="125"/>
      <c r="G135" s="125"/>
      <c r="H135" s="125"/>
      <c r="I135" s="124" t="str">
        <f t="shared" si="4"/>
        <v/>
      </c>
      <c r="J135" s="119" t="s">
        <v>814</v>
      </c>
    </row>
    <row r="136">
      <c r="A136" s="125"/>
      <c r="B136" s="125"/>
      <c r="C136" s="125"/>
      <c r="D136" s="125"/>
      <c r="E136" s="125"/>
      <c r="F136" s="125"/>
      <c r="G136" s="125"/>
      <c r="H136" s="125"/>
      <c r="I136" s="124" t="str">
        <f t="shared" si="4"/>
        <v/>
      </c>
      <c r="J136" s="119" t="s">
        <v>814</v>
      </c>
    </row>
    <row r="137">
      <c r="A137" s="125"/>
      <c r="B137" s="125"/>
      <c r="C137" s="125"/>
      <c r="D137" s="125"/>
      <c r="E137" s="125"/>
      <c r="F137" s="125"/>
      <c r="G137" s="125"/>
      <c r="H137" s="125"/>
      <c r="I137" s="124" t="str">
        <f t="shared" si="4"/>
        <v/>
      </c>
      <c r="J137" s="119" t="s">
        <v>814</v>
      </c>
    </row>
    <row r="138">
      <c r="A138" s="125"/>
      <c r="B138" s="125"/>
      <c r="C138" s="125"/>
      <c r="D138" s="125"/>
      <c r="E138" s="125"/>
      <c r="F138" s="125"/>
      <c r="G138" s="125"/>
      <c r="H138" s="125"/>
      <c r="I138" s="124" t="str">
        <f t="shared" si="4"/>
        <v/>
      </c>
      <c r="J138" s="119" t="s">
        <v>814</v>
      </c>
    </row>
    <row r="139">
      <c r="A139" s="125"/>
      <c r="B139" s="125"/>
      <c r="C139" s="125"/>
      <c r="D139" s="125"/>
      <c r="E139" s="125"/>
      <c r="F139" s="125"/>
      <c r="G139" s="125"/>
      <c r="H139" s="125"/>
      <c r="I139" s="124" t="str">
        <f t="shared" si="4"/>
        <v/>
      </c>
      <c r="J139" s="119" t="s">
        <v>814</v>
      </c>
    </row>
    <row r="140">
      <c r="A140" s="125"/>
      <c r="B140" s="125"/>
      <c r="C140" s="125"/>
      <c r="D140" s="125"/>
      <c r="E140" s="125"/>
      <c r="F140" s="125"/>
      <c r="G140" s="125"/>
      <c r="H140" s="125"/>
      <c r="I140" s="124" t="str">
        <f t="shared" si="4"/>
        <v/>
      </c>
      <c r="J140" s="119" t="s">
        <v>814</v>
      </c>
    </row>
    <row r="141">
      <c r="A141" s="125"/>
      <c r="B141" s="125"/>
      <c r="C141" s="125"/>
      <c r="D141" s="125"/>
      <c r="E141" s="125"/>
      <c r="F141" s="125"/>
      <c r="G141" s="125"/>
      <c r="H141" s="125"/>
      <c r="I141" s="124" t="str">
        <f t="shared" si="4"/>
        <v/>
      </c>
      <c r="J141" s="119" t="s">
        <v>814</v>
      </c>
    </row>
    <row r="142">
      <c r="A142" s="125"/>
      <c r="B142" s="125"/>
      <c r="C142" s="125"/>
      <c r="D142" s="125"/>
      <c r="E142" s="125"/>
      <c r="F142" s="125"/>
      <c r="G142" s="125"/>
      <c r="H142" s="125"/>
      <c r="I142" s="124" t="str">
        <f t="shared" si="4"/>
        <v/>
      </c>
      <c r="J142" s="119" t="s">
        <v>814</v>
      </c>
    </row>
    <row r="143">
      <c r="A143" s="125"/>
      <c r="B143" s="125"/>
      <c r="C143" s="125"/>
      <c r="D143" s="125"/>
      <c r="E143" s="125"/>
      <c r="F143" s="125"/>
      <c r="G143" s="125"/>
      <c r="H143" s="125"/>
      <c r="I143" s="124" t="str">
        <f t="shared" si="4"/>
        <v/>
      </c>
      <c r="J143" s="119" t="s">
        <v>814</v>
      </c>
    </row>
    <row r="144">
      <c r="A144" s="125"/>
      <c r="B144" s="125"/>
      <c r="C144" s="125"/>
      <c r="D144" s="125"/>
      <c r="E144" s="125"/>
      <c r="F144" s="125"/>
      <c r="G144" s="125"/>
      <c r="H144" s="125"/>
      <c r="I144" s="124" t="str">
        <f t="shared" si="4"/>
        <v/>
      </c>
      <c r="J144" s="119" t="s">
        <v>814</v>
      </c>
    </row>
    <row r="145">
      <c r="A145" s="125"/>
      <c r="B145" s="125"/>
      <c r="C145" s="125"/>
      <c r="D145" s="125"/>
      <c r="E145" s="125"/>
      <c r="F145" s="125"/>
      <c r="G145" s="125"/>
      <c r="H145" s="125"/>
      <c r="I145" s="124" t="str">
        <f t="shared" si="4"/>
        <v/>
      </c>
      <c r="J145" s="119" t="s">
        <v>814</v>
      </c>
    </row>
    <row r="146">
      <c r="A146" s="125"/>
      <c r="B146" s="125"/>
      <c r="C146" s="125"/>
      <c r="D146" s="125"/>
      <c r="E146" s="125"/>
      <c r="F146" s="125"/>
      <c r="G146" s="125"/>
      <c r="H146" s="125"/>
      <c r="I146" s="124" t="str">
        <f t="shared" si="4"/>
        <v/>
      </c>
      <c r="J146" s="119" t="s">
        <v>814</v>
      </c>
    </row>
    <row r="147">
      <c r="A147" s="125"/>
      <c r="B147" s="125"/>
      <c r="C147" s="125"/>
      <c r="D147" s="125"/>
      <c r="E147" s="125"/>
      <c r="F147" s="125"/>
      <c r="G147" s="125"/>
      <c r="H147" s="125"/>
      <c r="I147" s="124" t="str">
        <f t="shared" si="4"/>
        <v/>
      </c>
      <c r="J147" s="119" t="s">
        <v>814</v>
      </c>
    </row>
    <row r="148">
      <c r="A148" s="125"/>
      <c r="B148" s="125"/>
      <c r="C148" s="125"/>
      <c r="D148" s="125"/>
      <c r="E148" s="125"/>
      <c r="F148" s="125"/>
      <c r="G148" s="125"/>
      <c r="H148" s="125"/>
      <c r="I148" s="124" t="str">
        <f t="shared" si="4"/>
        <v/>
      </c>
      <c r="J148" s="119" t="s">
        <v>814</v>
      </c>
    </row>
    <row r="149">
      <c r="A149" s="125"/>
      <c r="B149" s="125"/>
      <c r="C149" s="125"/>
      <c r="D149" s="125"/>
      <c r="E149" s="125"/>
      <c r="F149" s="125"/>
      <c r="G149" s="125"/>
      <c r="H149" s="125"/>
      <c r="I149" s="124" t="str">
        <f t="shared" si="4"/>
        <v/>
      </c>
      <c r="J149" s="119" t="s">
        <v>814</v>
      </c>
    </row>
    <row r="150">
      <c r="A150" s="125"/>
      <c r="B150" s="125"/>
      <c r="C150" s="125"/>
      <c r="D150" s="125"/>
      <c r="E150" s="125"/>
      <c r="F150" s="125"/>
      <c r="G150" s="125"/>
      <c r="H150" s="125"/>
      <c r="I150" s="124" t="str">
        <f t="shared" si="4"/>
        <v/>
      </c>
      <c r="J150" s="119" t="s">
        <v>814</v>
      </c>
    </row>
    <row r="151">
      <c r="A151" s="125"/>
      <c r="B151" s="125"/>
      <c r="C151" s="125"/>
      <c r="D151" s="125"/>
      <c r="E151" s="125"/>
      <c r="F151" s="125"/>
      <c r="G151" s="125"/>
      <c r="H151" s="125"/>
      <c r="I151" s="124" t="str">
        <f t="shared" si="4"/>
        <v/>
      </c>
      <c r="J151" s="119" t="s">
        <v>814</v>
      </c>
    </row>
    <row r="152">
      <c r="A152" s="125"/>
      <c r="B152" s="125"/>
      <c r="C152" s="125"/>
      <c r="D152" s="125"/>
      <c r="E152" s="125"/>
      <c r="F152" s="125"/>
      <c r="G152" s="125"/>
      <c r="H152" s="125"/>
      <c r="I152" s="124" t="str">
        <f t="shared" si="4"/>
        <v/>
      </c>
      <c r="J152" s="119" t="s">
        <v>814</v>
      </c>
    </row>
    <row r="153">
      <c r="A153" s="125"/>
      <c r="B153" s="125"/>
      <c r="C153" s="125"/>
      <c r="D153" s="125"/>
      <c r="E153" s="125"/>
      <c r="F153" s="125"/>
      <c r="G153" s="125"/>
      <c r="H153" s="125"/>
      <c r="I153" s="124" t="str">
        <f t="shared" si="4"/>
        <v/>
      </c>
      <c r="J153" s="119" t="s">
        <v>814</v>
      </c>
    </row>
    <row r="154">
      <c r="A154" s="125"/>
      <c r="B154" s="125"/>
      <c r="C154" s="125"/>
      <c r="D154" s="125"/>
      <c r="E154" s="125"/>
      <c r="F154" s="125"/>
      <c r="G154" s="125"/>
      <c r="H154" s="125"/>
      <c r="I154" s="124" t="str">
        <f t="shared" si="4"/>
        <v/>
      </c>
      <c r="J154" s="119" t="s">
        <v>814</v>
      </c>
    </row>
    <row r="155">
      <c r="A155" s="125"/>
      <c r="B155" s="125"/>
      <c r="C155" s="125"/>
      <c r="D155" s="125"/>
      <c r="E155" s="125"/>
      <c r="F155" s="125"/>
      <c r="G155" s="125"/>
      <c r="H155" s="125"/>
      <c r="I155" s="124" t="str">
        <f t="shared" si="4"/>
        <v/>
      </c>
      <c r="J155" s="119" t="s">
        <v>814</v>
      </c>
    </row>
    <row r="156">
      <c r="A156" s="125"/>
      <c r="B156" s="125"/>
      <c r="C156" s="125"/>
      <c r="D156" s="125"/>
      <c r="E156" s="125"/>
      <c r="F156" s="125"/>
      <c r="G156" s="125"/>
      <c r="H156" s="125"/>
      <c r="I156" s="124" t="str">
        <f t="shared" si="4"/>
        <v/>
      </c>
      <c r="J156" s="119" t="s">
        <v>814</v>
      </c>
    </row>
    <row r="157">
      <c r="A157" s="125"/>
      <c r="B157" s="125"/>
      <c r="C157" s="125"/>
      <c r="D157" s="125"/>
      <c r="E157" s="125"/>
      <c r="F157" s="125"/>
      <c r="G157" s="125"/>
      <c r="H157" s="125"/>
      <c r="I157" s="124" t="str">
        <f t="shared" si="4"/>
        <v/>
      </c>
      <c r="J157" s="119" t="s">
        <v>814</v>
      </c>
    </row>
    <row r="158">
      <c r="A158" s="125"/>
      <c r="B158" s="125"/>
      <c r="C158" s="125"/>
      <c r="D158" s="125"/>
      <c r="E158" s="125"/>
      <c r="F158" s="125"/>
      <c r="G158" s="125"/>
      <c r="H158" s="125"/>
      <c r="I158" s="124" t="str">
        <f t="shared" si="4"/>
        <v/>
      </c>
      <c r="J158" s="119" t="s">
        <v>814</v>
      </c>
    </row>
    <row r="159">
      <c r="A159" s="125"/>
      <c r="B159" s="125"/>
      <c r="C159" s="125"/>
      <c r="D159" s="125"/>
      <c r="E159" s="125"/>
      <c r="F159" s="125"/>
      <c r="G159" s="125"/>
      <c r="H159" s="125"/>
      <c r="I159" s="124" t="str">
        <f t="shared" si="4"/>
        <v/>
      </c>
      <c r="J159" s="119" t="s">
        <v>814</v>
      </c>
    </row>
    <row r="160">
      <c r="A160" s="125"/>
      <c r="B160" s="125"/>
      <c r="C160" s="125"/>
      <c r="D160" s="125"/>
      <c r="E160" s="125"/>
      <c r="F160" s="125"/>
      <c r="G160" s="125"/>
      <c r="H160" s="125"/>
      <c r="I160" s="124" t="str">
        <f t="shared" si="4"/>
        <v/>
      </c>
      <c r="J160" s="119" t="s">
        <v>814</v>
      </c>
    </row>
    <row r="161">
      <c r="A161" s="125"/>
      <c r="B161" s="125"/>
      <c r="C161" s="125"/>
      <c r="D161" s="125"/>
      <c r="E161" s="125"/>
      <c r="F161" s="125"/>
      <c r="G161" s="125"/>
      <c r="H161" s="125"/>
      <c r="I161" s="124" t="str">
        <f t="shared" si="4"/>
        <v/>
      </c>
      <c r="J161" s="119" t="s">
        <v>814</v>
      </c>
    </row>
    <row r="162">
      <c r="A162" s="125"/>
      <c r="B162" s="125"/>
      <c r="C162" s="125"/>
      <c r="D162" s="125"/>
      <c r="E162" s="125"/>
      <c r="F162" s="125"/>
      <c r="G162" s="125"/>
      <c r="H162" s="125"/>
      <c r="I162" s="124" t="str">
        <f t="shared" si="4"/>
        <v/>
      </c>
      <c r="J162" s="119" t="s">
        <v>814</v>
      </c>
    </row>
    <row r="163">
      <c r="A163" s="125"/>
      <c r="B163" s="125"/>
      <c r="C163" s="125"/>
      <c r="D163" s="125"/>
      <c r="E163" s="125"/>
      <c r="F163" s="125"/>
      <c r="G163" s="125"/>
      <c r="H163" s="125"/>
      <c r="I163" s="124" t="str">
        <f t="shared" si="4"/>
        <v/>
      </c>
      <c r="J163" s="119" t="s">
        <v>814</v>
      </c>
    </row>
    <row r="164">
      <c r="A164" s="125"/>
      <c r="B164" s="125"/>
      <c r="C164" s="125"/>
      <c r="D164" s="125"/>
      <c r="E164" s="125"/>
      <c r="F164" s="125"/>
      <c r="G164" s="125"/>
      <c r="H164" s="125"/>
      <c r="I164" s="124" t="str">
        <f t="shared" si="4"/>
        <v/>
      </c>
      <c r="J164" s="119" t="s">
        <v>814</v>
      </c>
    </row>
    <row r="165">
      <c r="A165" s="125"/>
      <c r="B165" s="125"/>
      <c r="C165" s="125"/>
      <c r="D165" s="125"/>
      <c r="E165" s="125"/>
      <c r="F165" s="125"/>
      <c r="G165" s="125"/>
      <c r="H165" s="125"/>
      <c r="I165" s="124" t="str">
        <f t="shared" si="4"/>
        <v/>
      </c>
      <c r="J165" s="119" t="s">
        <v>814</v>
      </c>
    </row>
    <row r="166">
      <c r="A166" s="125"/>
      <c r="B166" s="125"/>
      <c r="C166" s="125"/>
      <c r="D166" s="125"/>
      <c r="E166" s="125"/>
      <c r="F166" s="125"/>
      <c r="G166" s="125"/>
      <c r="H166" s="125"/>
      <c r="I166" s="124" t="str">
        <f t="shared" si="4"/>
        <v/>
      </c>
      <c r="J166" s="119" t="s">
        <v>814</v>
      </c>
    </row>
    <row r="167">
      <c r="A167" s="125"/>
      <c r="B167" s="125"/>
      <c r="C167" s="125"/>
      <c r="D167" s="125"/>
      <c r="E167" s="125"/>
      <c r="F167" s="125"/>
      <c r="G167" s="125"/>
      <c r="H167" s="125"/>
      <c r="I167" s="124" t="str">
        <f t="shared" si="4"/>
        <v/>
      </c>
      <c r="J167" s="119" t="s">
        <v>814</v>
      </c>
    </row>
    <row r="168">
      <c r="A168" s="125"/>
      <c r="B168" s="125"/>
      <c r="C168" s="125"/>
      <c r="D168" s="125"/>
      <c r="E168" s="125"/>
      <c r="F168" s="125"/>
      <c r="G168" s="125"/>
      <c r="H168" s="125"/>
      <c r="I168" s="124" t="str">
        <f t="shared" si="4"/>
        <v/>
      </c>
      <c r="J168" s="119" t="s">
        <v>814</v>
      </c>
    </row>
    <row r="169">
      <c r="A169" s="125"/>
      <c r="B169" s="125"/>
      <c r="C169" s="125"/>
      <c r="D169" s="125"/>
      <c r="E169" s="125"/>
      <c r="F169" s="125"/>
      <c r="G169" s="125"/>
      <c r="H169" s="125"/>
      <c r="I169" s="124" t="str">
        <f t="shared" si="4"/>
        <v/>
      </c>
      <c r="J169" s="119" t="s">
        <v>814</v>
      </c>
    </row>
    <row r="170">
      <c r="A170" s="125"/>
      <c r="B170" s="125"/>
      <c r="C170" s="125"/>
      <c r="D170" s="125"/>
      <c r="E170" s="125"/>
      <c r="F170" s="125"/>
      <c r="G170" s="125"/>
      <c r="H170" s="125"/>
      <c r="I170" s="124" t="str">
        <f t="shared" si="4"/>
        <v/>
      </c>
      <c r="J170" s="119" t="s">
        <v>814</v>
      </c>
    </row>
    <row r="171">
      <c r="A171" s="125"/>
      <c r="B171" s="125"/>
      <c r="C171" s="125"/>
      <c r="D171" s="125"/>
      <c r="E171" s="125"/>
      <c r="F171" s="125"/>
      <c r="G171" s="125"/>
      <c r="H171" s="125"/>
      <c r="I171" s="124" t="str">
        <f t="shared" si="4"/>
        <v/>
      </c>
      <c r="J171" s="119" t="s">
        <v>814</v>
      </c>
    </row>
    <row r="172">
      <c r="A172" s="125"/>
      <c r="B172" s="125"/>
      <c r="C172" s="125"/>
      <c r="D172" s="125"/>
      <c r="E172" s="125"/>
      <c r="F172" s="125"/>
      <c r="G172" s="125"/>
      <c r="H172" s="125"/>
      <c r="I172" s="124" t="str">
        <f t="shared" si="4"/>
        <v/>
      </c>
      <c r="J172" s="119" t="s">
        <v>814</v>
      </c>
    </row>
    <row r="173">
      <c r="A173" s="125"/>
      <c r="B173" s="125"/>
      <c r="C173" s="125"/>
      <c r="D173" s="125"/>
      <c r="E173" s="125"/>
      <c r="F173" s="125"/>
      <c r="G173" s="125"/>
      <c r="H173" s="125"/>
      <c r="I173" s="124" t="str">
        <f t="shared" si="4"/>
        <v/>
      </c>
      <c r="J173" s="119" t="s">
        <v>814</v>
      </c>
    </row>
    <row r="174">
      <c r="A174" s="125"/>
      <c r="B174" s="125"/>
      <c r="C174" s="125"/>
      <c r="D174" s="125"/>
      <c r="E174" s="125"/>
      <c r="F174" s="125"/>
      <c r="G174" s="125"/>
      <c r="H174" s="125"/>
      <c r="I174" s="124" t="str">
        <f t="shared" si="4"/>
        <v/>
      </c>
      <c r="J174" s="119" t="s">
        <v>814</v>
      </c>
    </row>
    <row r="175">
      <c r="A175" s="125"/>
      <c r="B175" s="125"/>
      <c r="C175" s="125"/>
      <c r="D175" s="125"/>
      <c r="E175" s="125"/>
      <c r="F175" s="125"/>
      <c r="G175" s="125"/>
      <c r="H175" s="125"/>
      <c r="I175" s="124" t="str">
        <f t="shared" si="4"/>
        <v/>
      </c>
      <c r="J175" s="119" t="s">
        <v>814</v>
      </c>
    </row>
    <row r="176">
      <c r="A176" s="125"/>
      <c r="B176" s="125"/>
      <c r="C176" s="125"/>
      <c r="D176" s="125"/>
      <c r="E176" s="125"/>
      <c r="F176" s="125"/>
      <c r="G176" s="125"/>
      <c r="H176" s="125"/>
      <c r="I176" s="124" t="str">
        <f t="shared" si="4"/>
        <v/>
      </c>
      <c r="J176" s="119" t="s">
        <v>814</v>
      </c>
    </row>
    <row r="177">
      <c r="A177" s="125"/>
      <c r="B177" s="125"/>
      <c r="C177" s="125"/>
      <c r="D177" s="125"/>
      <c r="E177" s="125"/>
      <c r="F177" s="125"/>
      <c r="G177" s="125"/>
      <c r="H177" s="125"/>
      <c r="I177" s="124" t="str">
        <f t="shared" si="4"/>
        <v/>
      </c>
      <c r="J177" s="119" t="s">
        <v>814</v>
      </c>
    </row>
    <row r="178">
      <c r="A178" s="125"/>
      <c r="B178" s="125"/>
      <c r="C178" s="125"/>
      <c r="D178" s="125"/>
      <c r="E178" s="125"/>
      <c r="F178" s="125"/>
      <c r="G178" s="125"/>
      <c r="H178" s="125"/>
      <c r="I178" s="124" t="str">
        <f t="shared" si="4"/>
        <v/>
      </c>
      <c r="J178" s="119" t="s">
        <v>814</v>
      </c>
    </row>
    <row r="179">
      <c r="A179" s="125"/>
      <c r="B179" s="125"/>
      <c r="C179" s="125"/>
      <c r="D179" s="125"/>
      <c r="E179" s="125"/>
      <c r="F179" s="125"/>
      <c r="G179" s="125"/>
      <c r="H179" s="125"/>
      <c r="I179" s="124" t="str">
        <f t="shared" si="4"/>
        <v/>
      </c>
      <c r="J179" s="119" t="s">
        <v>814</v>
      </c>
    </row>
    <row r="180">
      <c r="A180" s="125"/>
      <c r="B180" s="125"/>
      <c r="C180" s="125"/>
      <c r="D180" s="125"/>
      <c r="E180" s="125"/>
      <c r="F180" s="125"/>
      <c r="G180" s="125"/>
      <c r="H180" s="125"/>
      <c r="I180" s="124" t="str">
        <f t="shared" si="4"/>
        <v/>
      </c>
      <c r="J180" s="119" t="s">
        <v>814</v>
      </c>
    </row>
    <row r="181">
      <c r="A181" s="125"/>
      <c r="B181" s="125"/>
      <c r="C181" s="125"/>
      <c r="D181" s="125"/>
      <c r="E181" s="125"/>
      <c r="F181" s="125"/>
      <c r="G181" s="125"/>
      <c r="H181" s="125"/>
      <c r="I181" s="124" t="str">
        <f t="shared" si="4"/>
        <v/>
      </c>
      <c r="J181" s="119" t="s">
        <v>814</v>
      </c>
    </row>
    <row r="182">
      <c r="A182" s="125"/>
      <c r="B182" s="125"/>
      <c r="C182" s="125"/>
      <c r="D182" s="125"/>
      <c r="E182" s="125"/>
      <c r="F182" s="125"/>
      <c r="G182" s="125"/>
      <c r="H182" s="125"/>
      <c r="I182" s="124" t="str">
        <f t="shared" si="4"/>
        <v/>
      </c>
      <c r="J182" s="119" t="s">
        <v>814</v>
      </c>
    </row>
    <row r="183">
      <c r="A183" s="125"/>
      <c r="B183" s="125"/>
      <c r="C183" s="125"/>
      <c r="D183" s="125"/>
      <c r="E183" s="125"/>
      <c r="F183" s="125"/>
      <c r="G183" s="125"/>
      <c r="H183" s="125"/>
      <c r="I183" s="124" t="str">
        <f t="shared" si="4"/>
        <v/>
      </c>
      <c r="J183" s="119" t="s">
        <v>814</v>
      </c>
    </row>
    <row r="184">
      <c r="A184" s="125"/>
      <c r="B184" s="125"/>
      <c r="C184" s="125"/>
      <c r="D184" s="125"/>
      <c r="E184" s="125"/>
      <c r="F184" s="125"/>
      <c r="G184" s="125"/>
      <c r="H184" s="125"/>
      <c r="I184" s="124" t="str">
        <f t="shared" si="4"/>
        <v/>
      </c>
      <c r="J184" s="119" t="s">
        <v>814</v>
      </c>
    </row>
    <row r="185">
      <c r="A185" s="125"/>
      <c r="B185" s="125"/>
      <c r="C185" s="125"/>
      <c r="D185" s="125"/>
      <c r="E185" s="125"/>
      <c r="F185" s="125"/>
      <c r="G185" s="125"/>
      <c r="H185" s="125"/>
      <c r="I185" s="124" t="str">
        <f t="shared" si="4"/>
        <v/>
      </c>
      <c r="J185" s="119" t="s">
        <v>814</v>
      </c>
    </row>
    <row r="186">
      <c r="A186" s="125"/>
      <c r="B186" s="125"/>
      <c r="C186" s="125"/>
      <c r="D186" s="125"/>
      <c r="E186" s="125"/>
      <c r="F186" s="125"/>
      <c r="G186" s="125"/>
      <c r="H186" s="125"/>
      <c r="I186" s="124" t="str">
        <f t="shared" si="4"/>
        <v/>
      </c>
      <c r="J186" s="119" t="s">
        <v>814</v>
      </c>
    </row>
    <row r="187">
      <c r="A187" s="125"/>
      <c r="B187" s="125"/>
      <c r="C187" s="125"/>
      <c r="D187" s="125"/>
      <c r="E187" s="125"/>
      <c r="F187" s="125"/>
      <c r="G187" s="125"/>
      <c r="H187" s="125"/>
      <c r="I187" s="124" t="str">
        <f t="shared" si="4"/>
        <v/>
      </c>
      <c r="J187" s="119" t="s">
        <v>814</v>
      </c>
    </row>
    <row r="188">
      <c r="A188" s="125"/>
      <c r="B188" s="125"/>
      <c r="C188" s="125"/>
      <c r="D188" s="125"/>
      <c r="E188" s="125"/>
      <c r="F188" s="125"/>
      <c r="G188" s="125"/>
      <c r="H188" s="125"/>
      <c r="I188" s="124" t="str">
        <f t="shared" si="4"/>
        <v/>
      </c>
      <c r="J188" s="119" t="s">
        <v>814</v>
      </c>
    </row>
    <row r="189">
      <c r="A189" s="125"/>
      <c r="B189" s="125"/>
      <c r="C189" s="125"/>
      <c r="D189" s="125"/>
      <c r="E189" s="125"/>
      <c r="F189" s="125"/>
      <c r="G189" s="125"/>
      <c r="H189" s="125"/>
      <c r="I189" s="124" t="str">
        <f t="shared" si="4"/>
        <v/>
      </c>
      <c r="J189" s="119" t="s">
        <v>814</v>
      </c>
    </row>
    <row r="190">
      <c r="A190" s="125"/>
      <c r="B190" s="125"/>
      <c r="C190" s="125"/>
      <c r="D190" s="125"/>
      <c r="E190" s="125"/>
      <c r="F190" s="125"/>
      <c r="G190" s="125"/>
      <c r="H190" s="125"/>
      <c r="I190" s="124" t="str">
        <f t="shared" si="4"/>
        <v/>
      </c>
      <c r="J190" s="119" t="s">
        <v>814</v>
      </c>
    </row>
    <row r="191">
      <c r="A191" s="125"/>
      <c r="B191" s="125"/>
      <c r="C191" s="125"/>
      <c r="D191" s="125"/>
      <c r="E191" s="125"/>
      <c r="F191" s="125"/>
      <c r="G191" s="125"/>
      <c r="H191" s="125"/>
      <c r="I191" s="124" t="str">
        <f t="shared" si="4"/>
        <v/>
      </c>
      <c r="J191" s="119" t="s">
        <v>814</v>
      </c>
    </row>
    <row r="192">
      <c r="A192" s="125"/>
      <c r="B192" s="125"/>
      <c r="C192" s="125"/>
      <c r="D192" s="125"/>
      <c r="E192" s="125"/>
      <c r="F192" s="125"/>
      <c r="G192" s="125"/>
      <c r="H192" s="125"/>
      <c r="I192" s="124" t="str">
        <f t="shared" si="4"/>
        <v/>
      </c>
      <c r="J192" s="119" t="s">
        <v>814</v>
      </c>
    </row>
    <row r="193">
      <c r="A193" s="125"/>
      <c r="B193" s="125"/>
      <c r="C193" s="125"/>
      <c r="D193" s="125"/>
      <c r="E193" s="125"/>
      <c r="F193" s="125"/>
      <c r="G193" s="125"/>
      <c r="H193" s="125"/>
      <c r="I193" s="124" t="str">
        <f t="shared" si="4"/>
        <v/>
      </c>
      <c r="J193" s="119" t="s">
        <v>814</v>
      </c>
    </row>
    <row r="194">
      <c r="A194" s="125"/>
      <c r="B194" s="125"/>
      <c r="C194" s="125"/>
      <c r="D194" s="125"/>
      <c r="E194" s="125"/>
      <c r="F194" s="125"/>
      <c r="G194" s="125"/>
      <c r="H194" s="125"/>
      <c r="I194" s="124" t="str">
        <f t="shared" si="4"/>
        <v/>
      </c>
      <c r="J194" s="119" t="s">
        <v>814</v>
      </c>
    </row>
    <row r="195">
      <c r="A195" s="125"/>
      <c r="B195" s="125"/>
      <c r="C195" s="125"/>
      <c r="D195" s="125"/>
      <c r="E195" s="125"/>
      <c r="F195" s="125"/>
      <c r="G195" s="125"/>
      <c r="H195" s="125"/>
      <c r="I195" s="124" t="str">
        <f t="shared" si="4"/>
        <v/>
      </c>
      <c r="J195" s="119" t="s">
        <v>814</v>
      </c>
    </row>
    <row r="196">
      <c r="A196" s="125"/>
      <c r="B196" s="125"/>
      <c r="C196" s="125"/>
      <c r="D196" s="125"/>
      <c r="E196" s="125"/>
      <c r="F196" s="125"/>
      <c r="G196" s="125"/>
      <c r="H196" s="125"/>
      <c r="I196" s="124" t="str">
        <f t="shared" si="4"/>
        <v/>
      </c>
      <c r="J196" s="119" t="s">
        <v>814</v>
      </c>
    </row>
    <row r="197">
      <c r="A197" s="125"/>
      <c r="B197" s="125"/>
      <c r="C197" s="125"/>
      <c r="D197" s="125"/>
      <c r="E197" s="125"/>
      <c r="F197" s="125"/>
      <c r="G197" s="125"/>
      <c r="H197" s="125"/>
      <c r="I197" s="124" t="str">
        <f t="shared" si="4"/>
        <v/>
      </c>
      <c r="J197" s="119" t="s">
        <v>814</v>
      </c>
    </row>
    <row r="198">
      <c r="A198" s="125"/>
      <c r="B198" s="125"/>
      <c r="C198" s="125"/>
      <c r="D198" s="125"/>
      <c r="E198" s="125"/>
      <c r="F198" s="125"/>
      <c r="G198" s="125"/>
      <c r="H198" s="125"/>
      <c r="I198" s="124" t="str">
        <f t="shared" si="4"/>
        <v/>
      </c>
      <c r="J198" s="119" t="s">
        <v>814</v>
      </c>
    </row>
    <row r="199">
      <c r="A199" s="125"/>
      <c r="B199" s="125"/>
      <c r="C199" s="125"/>
      <c r="D199" s="125"/>
      <c r="E199" s="125"/>
      <c r="F199" s="125"/>
      <c r="G199" s="125"/>
      <c r="H199" s="125"/>
      <c r="I199" s="124" t="str">
        <f t="shared" si="4"/>
        <v/>
      </c>
      <c r="J199" s="119" t="s">
        <v>814</v>
      </c>
    </row>
    <row r="200">
      <c r="A200" s="125"/>
      <c r="B200" s="125"/>
      <c r="C200" s="125"/>
      <c r="D200" s="125"/>
      <c r="E200" s="125"/>
      <c r="F200" s="125"/>
      <c r="G200" s="125"/>
      <c r="H200" s="125"/>
      <c r="I200" s="124" t="str">
        <f t="shared" si="4"/>
        <v/>
      </c>
      <c r="J200" s="119" t="s">
        <v>814</v>
      </c>
    </row>
    <row r="201">
      <c r="A201" s="125"/>
      <c r="B201" s="125"/>
      <c r="C201" s="125"/>
      <c r="D201" s="125"/>
      <c r="E201" s="125"/>
      <c r="F201" s="125"/>
      <c r="G201" s="125"/>
      <c r="H201" s="125"/>
      <c r="I201" s="124" t="str">
        <f t="shared" si="4"/>
        <v/>
      </c>
      <c r="J201" s="119" t="s">
        <v>814</v>
      </c>
    </row>
    <row r="202">
      <c r="A202" s="125"/>
      <c r="B202" s="125"/>
      <c r="C202" s="125"/>
      <c r="D202" s="125"/>
      <c r="E202" s="125"/>
      <c r="F202" s="125"/>
      <c r="G202" s="125"/>
      <c r="H202" s="125"/>
      <c r="I202" s="124" t="str">
        <f t="shared" si="4"/>
        <v/>
      </c>
      <c r="J202" s="119" t="s">
        <v>814</v>
      </c>
    </row>
    <row r="203">
      <c r="A203" s="125"/>
      <c r="B203" s="125"/>
      <c r="C203" s="125"/>
      <c r="D203" s="125"/>
      <c r="E203" s="125"/>
      <c r="F203" s="125"/>
      <c r="G203" s="125"/>
      <c r="H203" s="125"/>
      <c r="I203" s="124" t="str">
        <f t="shared" si="4"/>
        <v/>
      </c>
      <c r="J203" s="119" t="s">
        <v>814</v>
      </c>
    </row>
    <row r="204">
      <c r="A204" s="125"/>
      <c r="B204" s="125"/>
      <c r="C204" s="125"/>
      <c r="D204" s="125"/>
      <c r="E204" s="125"/>
      <c r="F204" s="125"/>
      <c r="G204" s="125"/>
      <c r="H204" s="125"/>
      <c r="I204" s="124" t="str">
        <f t="shared" si="4"/>
        <v/>
      </c>
      <c r="J204" s="119" t="s">
        <v>814</v>
      </c>
    </row>
    <row r="205">
      <c r="A205" s="125"/>
      <c r="B205" s="125"/>
      <c r="C205" s="125"/>
      <c r="D205" s="125"/>
      <c r="E205" s="125"/>
      <c r="F205" s="125"/>
      <c r="G205" s="125"/>
      <c r="H205" s="125"/>
      <c r="I205" s="124" t="str">
        <f t="shared" si="4"/>
        <v/>
      </c>
      <c r="J205" s="119" t="s">
        <v>814</v>
      </c>
    </row>
    <row r="206">
      <c r="A206" s="125"/>
      <c r="B206" s="125"/>
      <c r="C206" s="125"/>
      <c r="D206" s="125"/>
      <c r="E206" s="125"/>
      <c r="F206" s="125"/>
      <c r="G206" s="125"/>
      <c r="H206" s="125"/>
      <c r="I206" s="124" t="str">
        <f t="shared" si="4"/>
        <v/>
      </c>
      <c r="J206" s="119" t="s">
        <v>814</v>
      </c>
    </row>
    <row r="207">
      <c r="A207" s="125"/>
      <c r="B207" s="125"/>
      <c r="C207" s="125"/>
      <c r="D207" s="125"/>
      <c r="E207" s="125"/>
      <c r="F207" s="125"/>
      <c r="G207" s="125"/>
      <c r="H207" s="125"/>
      <c r="I207" s="124" t="str">
        <f t="shared" si="4"/>
        <v/>
      </c>
      <c r="J207" s="119" t="s">
        <v>814</v>
      </c>
    </row>
    <row r="208">
      <c r="A208" s="125"/>
      <c r="B208" s="125"/>
      <c r="C208" s="125"/>
      <c r="D208" s="125"/>
      <c r="E208" s="125"/>
      <c r="F208" s="125"/>
      <c r="G208" s="125"/>
      <c r="H208" s="125"/>
      <c r="I208" s="124" t="str">
        <f t="shared" si="4"/>
        <v/>
      </c>
      <c r="J208" s="119" t="s">
        <v>814</v>
      </c>
    </row>
    <row r="209">
      <c r="A209" s="125"/>
      <c r="B209" s="125"/>
      <c r="C209" s="125"/>
      <c r="D209" s="125"/>
      <c r="E209" s="125"/>
      <c r="F209" s="125"/>
      <c r="G209" s="125"/>
      <c r="H209" s="125"/>
      <c r="I209" s="124" t="str">
        <f t="shared" si="4"/>
        <v/>
      </c>
      <c r="J209" s="119" t="s">
        <v>814</v>
      </c>
    </row>
    <row r="210">
      <c r="A210" s="125"/>
      <c r="B210" s="125"/>
      <c r="C210" s="125"/>
      <c r="D210" s="125"/>
      <c r="E210" s="125"/>
      <c r="F210" s="125"/>
      <c r="G210" s="125"/>
      <c r="H210" s="125"/>
      <c r="I210" s="124" t="str">
        <f t="shared" si="4"/>
        <v/>
      </c>
      <c r="J210" s="119" t="s">
        <v>814</v>
      </c>
    </row>
    <row r="211">
      <c r="A211" s="125"/>
      <c r="B211" s="125"/>
      <c r="C211" s="125"/>
      <c r="D211" s="125"/>
      <c r="E211" s="125"/>
      <c r="F211" s="125"/>
      <c r="G211" s="125"/>
      <c r="H211" s="125"/>
      <c r="I211" s="124" t="str">
        <f t="shared" si="4"/>
        <v/>
      </c>
      <c r="J211" s="119" t="s">
        <v>814</v>
      </c>
    </row>
    <row r="212">
      <c r="A212" s="125"/>
      <c r="B212" s="125"/>
      <c r="C212" s="125"/>
      <c r="D212" s="125"/>
      <c r="E212" s="125"/>
      <c r="F212" s="125"/>
      <c r="G212" s="125"/>
      <c r="H212" s="125"/>
      <c r="I212" s="124" t="str">
        <f t="shared" si="4"/>
        <v/>
      </c>
      <c r="J212" s="119" t="s">
        <v>814</v>
      </c>
    </row>
    <row r="213">
      <c r="A213" s="125"/>
      <c r="B213" s="125"/>
      <c r="C213" s="125"/>
      <c r="D213" s="125"/>
      <c r="E213" s="125"/>
      <c r="F213" s="125"/>
      <c r="G213" s="125"/>
      <c r="H213" s="125"/>
      <c r="I213" s="124" t="str">
        <f t="shared" si="4"/>
        <v/>
      </c>
      <c r="J213" s="119" t="s">
        <v>814</v>
      </c>
    </row>
    <row r="214">
      <c r="A214" s="125"/>
      <c r="B214" s="125"/>
      <c r="C214" s="125"/>
      <c r="D214" s="125"/>
      <c r="E214" s="125"/>
      <c r="F214" s="125"/>
      <c r="G214" s="125"/>
      <c r="H214" s="125"/>
      <c r="I214" s="124" t="str">
        <f t="shared" si="4"/>
        <v/>
      </c>
      <c r="J214" s="119" t="s">
        <v>814</v>
      </c>
    </row>
    <row r="215">
      <c r="A215" s="125"/>
      <c r="B215" s="125"/>
      <c r="C215" s="125"/>
      <c r="D215" s="125"/>
      <c r="E215" s="125"/>
      <c r="F215" s="125"/>
      <c r="G215" s="125"/>
      <c r="H215" s="125"/>
      <c r="I215" s="124" t="str">
        <f t="shared" si="4"/>
        <v/>
      </c>
      <c r="J215" s="119" t="s">
        <v>814</v>
      </c>
    </row>
    <row r="216">
      <c r="A216" s="125"/>
      <c r="B216" s="125"/>
      <c r="C216" s="125"/>
      <c r="D216" s="125"/>
      <c r="E216" s="125"/>
      <c r="F216" s="125"/>
      <c r="G216" s="125"/>
      <c r="H216" s="125"/>
      <c r="I216" s="124" t="str">
        <f t="shared" si="4"/>
        <v/>
      </c>
      <c r="J216" s="119" t="s">
        <v>814</v>
      </c>
    </row>
    <row r="217">
      <c r="A217" s="125"/>
      <c r="B217" s="125"/>
      <c r="C217" s="125"/>
      <c r="D217" s="125"/>
      <c r="E217" s="125"/>
      <c r="F217" s="125"/>
      <c r="G217" s="125"/>
      <c r="H217" s="125"/>
      <c r="I217" s="124" t="str">
        <f t="shared" si="4"/>
        <v/>
      </c>
      <c r="J217" s="119" t="s">
        <v>814</v>
      </c>
    </row>
    <row r="218">
      <c r="A218" s="125"/>
      <c r="B218" s="125"/>
      <c r="C218" s="125"/>
      <c r="D218" s="125"/>
      <c r="E218" s="125"/>
      <c r="F218" s="125"/>
      <c r="G218" s="125"/>
      <c r="H218" s="125"/>
      <c r="I218" s="124" t="str">
        <f t="shared" si="4"/>
        <v/>
      </c>
      <c r="J218" s="119" t="s">
        <v>814</v>
      </c>
    </row>
    <row r="219">
      <c r="A219" s="125"/>
      <c r="B219" s="125"/>
      <c r="C219" s="125"/>
      <c r="D219" s="125"/>
      <c r="E219" s="125"/>
      <c r="F219" s="125"/>
      <c r="G219" s="125"/>
      <c r="H219" s="125"/>
      <c r="I219" s="124" t="str">
        <f t="shared" si="4"/>
        <v/>
      </c>
      <c r="J219" s="119" t="s">
        <v>814</v>
      </c>
    </row>
    <row r="220">
      <c r="A220" s="125"/>
      <c r="B220" s="125"/>
      <c r="C220" s="125"/>
      <c r="D220" s="125"/>
      <c r="E220" s="125"/>
      <c r="F220" s="125"/>
      <c r="G220" s="125"/>
      <c r="H220" s="125"/>
      <c r="I220" s="124" t="str">
        <f t="shared" si="4"/>
        <v/>
      </c>
      <c r="J220" s="119" t="s">
        <v>814</v>
      </c>
    </row>
    <row r="221">
      <c r="A221" s="125"/>
      <c r="B221" s="125"/>
      <c r="C221" s="125"/>
      <c r="D221" s="125"/>
      <c r="E221" s="125"/>
      <c r="F221" s="125"/>
      <c r="G221" s="125"/>
      <c r="H221" s="125"/>
      <c r="I221" s="124" t="str">
        <f t="shared" si="4"/>
        <v/>
      </c>
      <c r="J221" s="119" t="s">
        <v>814</v>
      </c>
    </row>
    <row r="222">
      <c r="A222" s="125"/>
      <c r="B222" s="125"/>
      <c r="C222" s="125"/>
      <c r="D222" s="125"/>
      <c r="E222" s="125"/>
      <c r="F222" s="125"/>
      <c r="G222" s="125"/>
      <c r="H222" s="125"/>
      <c r="I222" s="124" t="str">
        <f t="shared" si="4"/>
        <v/>
      </c>
      <c r="J222" s="119" t="s">
        <v>814</v>
      </c>
    </row>
    <row r="223">
      <c r="A223" s="125"/>
      <c r="B223" s="125"/>
      <c r="C223" s="125"/>
      <c r="D223" s="125"/>
      <c r="E223" s="125"/>
      <c r="F223" s="125"/>
      <c r="G223" s="125"/>
      <c r="H223" s="125"/>
      <c r="I223" s="124" t="str">
        <f t="shared" si="4"/>
        <v/>
      </c>
      <c r="J223" s="119" t="s">
        <v>814</v>
      </c>
    </row>
    <row r="224">
      <c r="A224" s="125"/>
      <c r="B224" s="125"/>
      <c r="C224" s="125"/>
      <c r="D224" s="125"/>
      <c r="E224" s="125"/>
      <c r="F224" s="125"/>
      <c r="G224" s="125"/>
      <c r="H224" s="125"/>
      <c r="I224" s="124" t="str">
        <f t="shared" si="4"/>
        <v/>
      </c>
      <c r="J224" s="119" t="s">
        <v>814</v>
      </c>
    </row>
    <row r="225">
      <c r="A225" s="125"/>
      <c r="B225" s="125"/>
      <c r="C225" s="125"/>
      <c r="D225" s="125"/>
      <c r="E225" s="125"/>
      <c r="F225" s="125"/>
      <c r="G225" s="125"/>
      <c r="H225" s="125"/>
      <c r="I225" s="124" t="str">
        <f t="shared" si="4"/>
        <v/>
      </c>
      <c r="J225" s="119" t="s">
        <v>814</v>
      </c>
    </row>
    <row r="226">
      <c r="A226" s="125"/>
      <c r="B226" s="125"/>
      <c r="C226" s="125"/>
      <c r="D226" s="125"/>
      <c r="E226" s="125"/>
      <c r="F226" s="125"/>
      <c r="G226" s="125"/>
      <c r="H226" s="125"/>
      <c r="I226" s="124" t="str">
        <f t="shared" si="4"/>
        <v/>
      </c>
      <c r="J226" s="119" t="s">
        <v>814</v>
      </c>
    </row>
    <row r="227">
      <c r="A227" s="125"/>
      <c r="B227" s="125"/>
      <c r="C227" s="125"/>
      <c r="D227" s="125"/>
      <c r="E227" s="125"/>
      <c r="F227" s="125"/>
      <c r="G227" s="125"/>
      <c r="H227" s="125"/>
      <c r="I227" s="124" t="str">
        <f t="shared" si="4"/>
        <v/>
      </c>
      <c r="J227" s="119" t="s">
        <v>814</v>
      </c>
    </row>
    <row r="228">
      <c r="A228" s="125"/>
      <c r="B228" s="125"/>
      <c r="C228" s="125"/>
      <c r="D228" s="125"/>
      <c r="E228" s="125"/>
      <c r="F228" s="125"/>
      <c r="G228" s="125"/>
      <c r="H228" s="125"/>
      <c r="I228" s="124" t="str">
        <f t="shared" si="4"/>
        <v/>
      </c>
      <c r="J228" s="119" t="s">
        <v>814</v>
      </c>
    </row>
    <row r="229">
      <c r="A229" s="125"/>
      <c r="B229" s="125"/>
      <c r="C229" s="125"/>
      <c r="D229" s="125"/>
      <c r="E229" s="125"/>
      <c r="F229" s="125"/>
      <c r="G229" s="125"/>
      <c r="H229" s="125"/>
      <c r="I229" s="124" t="str">
        <f t="shared" si="4"/>
        <v/>
      </c>
      <c r="J229" s="119" t="s">
        <v>814</v>
      </c>
    </row>
    <row r="230">
      <c r="A230" s="125"/>
      <c r="B230" s="125"/>
      <c r="C230" s="125"/>
      <c r="D230" s="125"/>
      <c r="E230" s="125"/>
      <c r="F230" s="125"/>
      <c r="G230" s="125"/>
      <c r="H230" s="125"/>
      <c r="I230" s="124" t="str">
        <f t="shared" si="4"/>
        <v/>
      </c>
      <c r="J230" s="119" t="s">
        <v>814</v>
      </c>
    </row>
    <row r="231">
      <c r="A231" s="125"/>
      <c r="B231" s="125"/>
      <c r="C231" s="125"/>
      <c r="D231" s="125"/>
      <c r="E231" s="125"/>
      <c r="F231" s="125"/>
      <c r="G231" s="125"/>
      <c r="H231" s="125"/>
      <c r="I231" s="124" t="str">
        <f t="shared" si="4"/>
        <v/>
      </c>
      <c r="J231" s="119" t="s">
        <v>814</v>
      </c>
    </row>
    <row r="232">
      <c r="A232" s="125"/>
      <c r="B232" s="125"/>
      <c r="C232" s="125"/>
      <c r="D232" s="125"/>
      <c r="E232" s="125"/>
      <c r="F232" s="125"/>
      <c r="G232" s="125"/>
      <c r="H232" s="125"/>
      <c r="I232" s="124" t="str">
        <f t="shared" si="4"/>
        <v/>
      </c>
      <c r="J232" s="119" t="s">
        <v>814</v>
      </c>
    </row>
    <row r="233">
      <c r="A233" s="125"/>
      <c r="B233" s="125"/>
      <c r="C233" s="125"/>
      <c r="D233" s="125"/>
      <c r="E233" s="125"/>
      <c r="F233" s="125"/>
      <c r="G233" s="125"/>
      <c r="H233" s="125"/>
      <c r="I233" s="124" t="str">
        <f t="shared" si="4"/>
        <v/>
      </c>
      <c r="J233" s="119" t="s">
        <v>814</v>
      </c>
    </row>
    <row r="234">
      <c r="A234" s="125"/>
      <c r="B234" s="125"/>
      <c r="C234" s="125"/>
      <c r="D234" s="125"/>
      <c r="E234" s="125"/>
      <c r="F234" s="125"/>
      <c r="G234" s="125"/>
      <c r="H234" s="125"/>
      <c r="I234" s="124" t="str">
        <f t="shared" si="4"/>
        <v/>
      </c>
      <c r="J234" s="119" t="s">
        <v>814</v>
      </c>
    </row>
    <row r="235">
      <c r="A235" s="125"/>
      <c r="B235" s="125"/>
      <c r="C235" s="125"/>
      <c r="D235" s="125"/>
      <c r="E235" s="125"/>
      <c r="F235" s="125"/>
      <c r="G235" s="125"/>
      <c r="H235" s="125"/>
      <c r="I235" s="124" t="str">
        <f t="shared" si="4"/>
        <v/>
      </c>
      <c r="J235" s="119" t="s">
        <v>814</v>
      </c>
    </row>
    <row r="236">
      <c r="A236" s="125"/>
      <c r="B236" s="125"/>
      <c r="C236" s="125"/>
      <c r="D236" s="125"/>
      <c r="E236" s="125"/>
      <c r="F236" s="125"/>
      <c r="G236" s="125"/>
      <c r="H236" s="125"/>
      <c r="I236" s="124" t="str">
        <f t="shared" si="4"/>
        <v/>
      </c>
      <c r="J236" s="119" t="s">
        <v>814</v>
      </c>
    </row>
    <row r="237">
      <c r="A237" s="125"/>
      <c r="B237" s="125"/>
      <c r="C237" s="125"/>
      <c r="D237" s="125"/>
      <c r="E237" s="125"/>
      <c r="F237" s="125"/>
      <c r="G237" s="125"/>
      <c r="H237" s="125"/>
      <c r="I237" s="124" t="str">
        <f t="shared" si="4"/>
        <v/>
      </c>
      <c r="J237" s="119" t="s">
        <v>814</v>
      </c>
    </row>
    <row r="238">
      <c r="A238" s="125"/>
      <c r="B238" s="125"/>
      <c r="C238" s="125"/>
      <c r="D238" s="125"/>
      <c r="E238" s="125"/>
      <c r="F238" s="125"/>
      <c r="G238" s="125"/>
      <c r="H238" s="125"/>
      <c r="I238" s="124" t="str">
        <f t="shared" si="4"/>
        <v/>
      </c>
      <c r="J238" s="119" t="s">
        <v>814</v>
      </c>
    </row>
    <row r="239">
      <c r="A239" s="125"/>
      <c r="B239" s="125"/>
      <c r="C239" s="125"/>
      <c r="D239" s="125"/>
      <c r="E239" s="125"/>
      <c r="F239" s="125"/>
      <c r="G239" s="125"/>
      <c r="H239" s="125"/>
      <c r="I239" s="124" t="str">
        <f t="shared" si="4"/>
        <v/>
      </c>
      <c r="J239" s="119" t="s">
        <v>814</v>
      </c>
    </row>
    <row r="240">
      <c r="A240" s="125"/>
      <c r="B240" s="125"/>
      <c r="C240" s="125"/>
      <c r="D240" s="125"/>
      <c r="E240" s="125"/>
      <c r="F240" s="125"/>
      <c r="G240" s="125"/>
      <c r="H240" s="125"/>
      <c r="I240" s="124" t="str">
        <f t="shared" si="4"/>
        <v/>
      </c>
      <c r="J240" s="119" t="s">
        <v>814</v>
      </c>
    </row>
    <row r="241">
      <c r="A241" s="125"/>
      <c r="B241" s="125"/>
      <c r="C241" s="125"/>
      <c r="D241" s="125"/>
      <c r="E241" s="125"/>
      <c r="F241" s="125"/>
      <c r="G241" s="125"/>
      <c r="H241" s="125"/>
      <c r="I241" s="124" t="str">
        <f t="shared" si="4"/>
        <v/>
      </c>
      <c r="J241" s="119" t="s">
        <v>814</v>
      </c>
    </row>
    <row r="242">
      <c r="A242" s="125"/>
      <c r="B242" s="125"/>
      <c r="C242" s="125"/>
      <c r="D242" s="125"/>
      <c r="E242" s="125"/>
      <c r="F242" s="125"/>
      <c r="G242" s="125"/>
      <c r="H242" s="125"/>
      <c r="I242" s="124" t="str">
        <f t="shared" si="4"/>
        <v/>
      </c>
      <c r="J242" s="119" t="s">
        <v>814</v>
      </c>
    </row>
    <row r="243">
      <c r="A243" s="125"/>
      <c r="B243" s="125"/>
      <c r="C243" s="125"/>
      <c r="D243" s="125"/>
      <c r="E243" s="125"/>
      <c r="F243" s="125"/>
      <c r="G243" s="125"/>
      <c r="H243" s="125"/>
      <c r="I243" s="124" t="str">
        <f t="shared" si="4"/>
        <v/>
      </c>
      <c r="J243" s="119" t="s">
        <v>814</v>
      </c>
    </row>
    <row r="244">
      <c r="A244" s="125"/>
      <c r="B244" s="125"/>
      <c r="C244" s="125"/>
      <c r="D244" s="125"/>
      <c r="E244" s="125"/>
      <c r="F244" s="125"/>
      <c r="G244" s="125"/>
      <c r="H244" s="125"/>
      <c r="I244" s="124" t="str">
        <f t="shared" si="4"/>
        <v/>
      </c>
      <c r="J244" s="119" t="s">
        <v>814</v>
      </c>
    </row>
    <row r="245">
      <c r="A245" s="125"/>
      <c r="B245" s="125"/>
      <c r="C245" s="125"/>
      <c r="D245" s="125"/>
      <c r="E245" s="125"/>
      <c r="F245" s="125"/>
      <c r="G245" s="125"/>
      <c r="H245" s="125"/>
      <c r="I245" s="124" t="str">
        <f t="shared" si="4"/>
        <v/>
      </c>
      <c r="J245" s="119" t="s">
        <v>814</v>
      </c>
    </row>
    <row r="246">
      <c r="A246" s="125"/>
      <c r="B246" s="125"/>
      <c r="C246" s="125"/>
      <c r="D246" s="125"/>
      <c r="E246" s="125"/>
      <c r="F246" s="125"/>
      <c r="G246" s="125"/>
      <c r="H246" s="125"/>
      <c r="I246" s="124" t="str">
        <f t="shared" si="4"/>
        <v/>
      </c>
      <c r="J246" s="119" t="s">
        <v>814</v>
      </c>
    </row>
    <row r="247">
      <c r="A247" s="125"/>
      <c r="B247" s="125"/>
      <c r="C247" s="125"/>
      <c r="D247" s="125"/>
      <c r="E247" s="125"/>
      <c r="F247" s="125"/>
      <c r="G247" s="125"/>
      <c r="H247" s="125"/>
      <c r="I247" s="124" t="str">
        <f t="shared" si="4"/>
        <v/>
      </c>
      <c r="J247" s="119" t="s">
        <v>814</v>
      </c>
    </row>
    <row r="248">
      <c r="A248" s="125"/>
      <c r="B248" s="125"/>
      <c r="C248" s="125"/>
      <c r="D248" s="125"/>
      <c r="E248" s="125"/>
      <c r="F248" s="125"/>
      <c r="G248" s="125"/>
      <c r="H248" s="125"/>
      <c r="I248" s="124" t="str">
        <f t="shared" si="4"/>
        <v/>
      </c>
      <c r="J248" s="119" t="s">
        <v>814</v>
      </c>
    </row>
    <row r="249">
      <c r="A249" s="125"/>
      <c r="B249" s="125"/>
      <c r="C249" s="125"/>
      <c r="D249" s="125"/>
      <c r="E249" s="125"/>
      <c r="F249" s="125"/>
      <c r="G249" s="125"/>
      <c r="H249" s="125"/>
      <c r="I249" s="124" t="str">
        <f t="shared" si="4"/>
        <v/>
      </c>
      <c r="J249" s="119" t="s">
        <v>814</v>
      </c>
    </row>
    <row r="250">
      <c r="A250" s="125"/>
      <c r="B250" s="125"/>
      <c r="C250" s="125"/>
      <c r="D250" s="125"/>
      <c r="E250" s="125"/>
      <c r="F250" s="125"/>
      <c r="G250" s="125"/>
      <c r="H250" s="125"/>
      <c r="I250" s="124" t="str">
        <f t="shared" si="4"/>
        <v/>
      </c>
      <c r="J250" s="119" t="s">
        <v>814</v>
      </c>
    </row>
    <row r="251">
      <c r="A251" s="125"/>
      <c r="B251" s="125"/>
      <c r="C251" s="125"/>
      <c r="D251" s="125"/>
      <c r="E251" s="125"/>
      <c r="F251" s="125"/>
      <c r="G251" s="125"/>
      <c r="H251" s="125"/>
      <c r="I251" s="124" t="str">
        <f t="shared" si="4"/>
        <v/>
      </c>
      <c r="J251" s="119" t="s">
        <v>814</v>
      </c>
    </row>
    <row r="252">
      <c r="A252" s="125"/>
      <c r="B252" s="125"/>
      <c r="C252" s="125"/>
      <c r="D252" s="125"/>
      <c r="E252" s="125"/>
      <c r="F252" s="125"/>
      <c r="G252" s="125"/>
      <c r="H252" s="125"/>
      <c r="I252" s="124" t="str">
        <f t="shared" si="4"/>
        <v/>
      </c>
      <c r="J252" s="119" t="s">
        <v>814</v>
      </c>
    </row>
    <row r="253">
      <c r="A253" s="125"/>
      <c r="B253" s="125"/>
      <c r="C253" s="125"/>
      <c r="D253" s="125"/>
      <c r="E253" s="125"/>
      <c r="F253" s="125"/>
      <c r="G253" s="125"/>
      <c r="H253" s="125"/>
      <c r="I253" s="124" t="str">
        <f t="shared" si="4"/>
        <v/>
      </c>
      <c r="J253" s="119" t="s">
        <v>814</v>
      </c>
    </row>
    <row r="254">
      <c r="A254" s="125"/>
      <c r="B254" s="125"/>
      <c r="C254" s="125"/>
      <c r="D254" s="125"/>
      <c r="E254" s="125"/>
      <c r="F254" s="125"/>
      <c r="G254" s="125"/>
      <c r="H254" s="125"/>
      <c r="I254" s="124" t="str">
        <f t="shared" si="4"/>
        <v/>
      </c>
      <c r="J254" s="119" t="s">
        <v>814</v>
      </c>
    </row>
    <row r="255">
      <c r="A255" s="125"/>
      <c r="B255" s="125"/>
      <c r="C255" s="125"/>
      <c r="D255" s="125"/>
      <c r="E255" s="125"/>
      <c r="F255" s="125"/>
      <c r="G255" s="125"/>
      <c r="H255" s="125"/>
      <c r="I255" s="124" t="str">
        <f t="shared" si="4"/>
        <v/>
      </c>
      <c r="J255" s="119" t="s">
        <v>814</v>
      </c>
    </row>
    <row r="256">
      <c r="A256" s="125"/>
      <c r="B256" s="125"/>
      <c r="C256" s="125"/>
      <c r="D256" s="125"/>
      <c r="E256" s="125"/>
      <c r="F256" s="125"/>
      <c r="G256" s="125"/>
      <c r="H256" s="125"/>
      <c r="I256" s="124" t="str">
        <f t="shared" si="4"/>
        <v/>
      </c>
      <c r="J256" s="119" t="s">
        <v>814</v>
      </c>
    </row>
    <row r="257">
      <c r="A257" s="125"/>
      <c r="B257" s="125"/>
      <c r="C257" s="125"/>
      <c r="D257" s="125"/>
      <c r="E257" s="125"/>
      <c r="F257" s="125"/>
      <c r="G257" s="125"/>
      <c r="H257" s="125"/>
      <c r="I257" s="124" t="str">
        <f t="shared" si="4"/>
        <v/>
      </c>
      <c r="J257" s="119" t="s">
        <v>814</v>
      </c>
    </row>
    <row r="258">
      <c r="A258" s="125"/>
      <c r="B258" s="125"/>
      <c r="C258" s="125"/>
      <c r="D258" s="125"/>
      <c r="E258" s="125"/>
      <c r="F258" s="125"/>
      <c r="G258" s="125"/>
      <c r="H258" s="125"/>
      <c r="I258" s="124" t="str">
        <f t="shared" si="4"/>
        <v/>
      </c>
      <c r="J258" s="119" t="s">
        <v>814</v>
      </c>
    </row>
    <row r="259">
      <c r="A259" s="125"/>
      <c r="B259" s="125"/>
      <c r="C259" s="125"/>
      <c r="D259" s="125"/>
      <c r="E259" s="125"/>
      <c r="F259" s="125"/>
      <c r="G259" s="125"/>
      <c r="H259" s="125"/>
      <c r="I259" s="124" t="str">
        <f t="shared" si="4"/>
        <v/>
      </c>
      <c r="J259" s="119" t="s">
        <v>814</v>
      </c>
    </row>
    <row r="260">
      <c r="A260" s="125"/>
      <c r="B260" s="125"/>
      <c r="C260" s="125"/>
      <c r="D260" s="125"/>
      <c r="E260" s="125"/>
      <c r="F260" s="125"/>
      <c r="G260" s="125"/>
      <c r="H260" s="125"/>
      <c r="I260" s="124" t="str">
        <f t="shared" si="4"/>
        <v/>
      </c>
      <c r="J260" s="119" t="s">
        <v>814</v>
      </c>
    </row>
    <row r="261">
      <c r="A261" s="125"/>
      <c r="B261" s="125"/>
      <c r="C261" s="125"/>
      <c r="D261" s="125"/>
      <c r="E261" s="125"/>
      <c r="F261" s="125"/>
      <c r="G261" s="125"/>
      <c r="H261" s="125"/>
      <c r="I261" s="124" t="str">
        <f t="shared" si="4"/>
        <v/>
      </c>
      <c r="J261" s="119" t="s">
        <v>814</v>
      </c>
    </row>
    <row r="262">
      <c r="A262" s="125"/>
      <c r="B262" s="125"/>
      <c r="C262" s="125"/>
      <c r="D262" s="125"/>
      <c r="E262" s="125"/>
      <c r="F262" s="125"/>
      <c r="G262" s="125"/>
      <c r="H262" s="125"/>
      <c r="I262" s="124" t="str">
        <f t="shared" si="4"/>
        <v/>
      </c>
      <c r="J262" s="119" t="s">
        <v>814</v>
      </c>
    </row>
    <row r="263">
      <c r="A263" s="125"/>
      <c r="B263" s="125"/>
      <c r="C263" s="125"/>
      <c r="D263" s="125"/>
      <c r="E263" s="125"/>
      <c r="F263" s="125"/>
      <c r="G263" s="125"/>
      <c r="H263" s="125"/>
      <c r="I263" s="124" t="str">
        <f t="shared" si="4"/>
        <v/>
      </c>
      <c r="J263" s="119" t="s">
        <v>814</v>
      </c>
    </row>
    <row r="264">
      <c r="A264" s="125"/>
      <c r="B264" s="125"/>
      <c r="C264" s="125"/>
      <c r="D264" s="125"/>
      <c r="E264" s="125"/>
      <c r="F264" s="125"/>
      <c r="G264" s="125"/>
      <c r="H264" s="125"/>
      <c r="I264" s="124" t="str">
        <f t="shared" si="4"/>
        <v/>
      </c>
      <c r="J264" s="119" t="s">
        <v>814</v>
      </c>
    </row>
    <row r="265">
      <c r="A265" s="125"/>
      <c r="B265" s="125"/>
      <c r="C265" s="125"/>
      <c r="D265" s="125"/>
      <c r="E265" s="125"/>
      <c r="F265" s="125"/>
      <c r="G265" s="125"/>
      <c r="H265" s="125"/>
      <c r="I265" s="124" t="str">
        <f t="shared" si="4"/>
        <v/>
      </c>
      <c r="J265" s="119" t="s">
        <v>814</v>
      </c>
    </row>
    <row r="266">
      <c r="A266" s="125"/>
      <c r="B266" s="125"/>
      <c r="C266" s="125"/>
      <c r="D266" s="125"/>
      <c r="E266" s="125"/>
      <c r="F266" s="125"/>
      <c r="G266" s="125"/>
      <c r="H266" s="125"/>
      <c r="I266" s="124" t="str">
        <f t="shared" si="4"/>
        <v/>
      </c>
      <c r="J266" s="119" t="s">
        <v>814</v>
      </c>
    </row>
    <row r="267">
      <c r="A267" s="125"/>
      <c r="B267" s="125"/>
      <c r="C267" s="125"/>
      <c r="D267" s="125"/>
      <c r="E267" s="125"/>
      <c r="F267" s="125"/>
      <c r="G267" s="125"/>
      <c r="H267" s="125"/>
      <c r="I267" s="124" t="str">
        <f t="shared" si="4"/>
        <v/>
      </c>
      <c r="J267" s="119" t="s">
        <v>814</v>
      </c>
    </row>
    <row r="268">
      <c r="A268" s="125"/>
      <c r="B268" s="125"/>
      <c r="C268" s="125"/>
      <c r="D268" s="125"/>
      <c r="E268" s="125"/>
      <c r="F268" s="125"/>
      <c r="G268" s="125"/>
      <c r="H268" s="125"/>
      <c r="I268" s="124" t="str">
        <f t="shared" si="4"/>
        <v/>
      </c>
      <c r="J268" s="119" t="s">
        <v>814</v>
      </c>
    </row>
    <row r="269">
      <c r="A269" s="125"/>
      <c r="B269" s="125"/>
      <c r="C269" s="125"/>
      <c r="D269" s="125"/>
      <c r="E269" s="125"/>
      <c r="F269" s="125"/>
      <c r="G269" s="125"/>
      <c r="H269" s="125"/>
      <c r="I269" s="124" t="str">
        <f t="shared" si="4"/>
        <v/>
      </c>
      <c r="J269" s="119" t="s">
        <v>814</v>
      </c>
    </row>
    <row r="270">
      <c r="A270" s="125"/>
      <c r="B270" s="125"/>
      <c r="C270" s="125"/>
      <c r="D270" s="125"/>
      <c r="E270" s="125"/>
      <c r="F270" s="125"/>
      <c r="G270" s="125"/>
      <c r="H270" s="125"/>
      <c r="I270" s="124" t="str">
        <f t="shared" si="4"/>
        <v/>
      </c>
      <c r="J270" s="119" t="s">
        <v>814</v>
      </c>
    </row>
    <row r="271">
      <c r="A271" s="125"/>
      <c r="B271" s="125"/>
      <c r="C271" s="125"/>
      <c r="D271" s="125"/>
      <c r="E271" s="125"/>
      <c r="F271" s="125"/>
      <c r="G271" s="125"/>
      <c r="H271" s="125"/>
      <c r="I271" s="124" t="str">
        <f t="shared" si="4"/>
        <v/>
      </c>
      <c r="J271" s="119" t="s">
        <v>814</v>
      </c>
    </row>
    <row r="272">
      <c r="A272" s="125"/>
      <c r="B272" s="125"/>
      <c r="C272" s="125"/>
      <c r="D272" s="125"/>
      <c r="E272" s="125"/>
      <c r="F272" s="125"/>
      <c r="G272" s="125"/>
      <c r="H272" s="125"/>
      <c r="I272" s="124" t="str">
        <f t="shared" si="4"/>
        <v/>
      </c>
      <c r="J272" s="119" t="s">
        <v>814</v>
      </c>
    </row>
    <row r="273">
      <c r="A273" s="125"/>
      <c r="B273" s="125"/>
      <c r="C273" s="125"/>
      <c r="D273" s="125"/>
      <c r="E273" s="125"/>
      <c r="F273" s="125"/>
      <c r="G273" s="125"/>
      <c r="H273" s="125"/>
      <c r="I273" s="124" t="str">
        <f t="shared" si="4"/>
        <v/>
      </c>
      <c r="J273" s="119" t="s">
        <v>814</v>
      </c>
    </row>
    <row r="274">
      <c r="A274" s="125"/>
      <c r="B274" s="125"/>
      <c r="C274" s="125"/>
      <c r="D274" s="125"/>
      <c r="E274" s="125"/>
      <c r="F274" s="125"/>
      <c r="G274" s="125"/>
      <c r="H274" s="125"/>
      <c r="I274" s="124" t="str">
        <f t="shared" si="4"/>
        <v/>
      </c>
      <c r="J274" s="119" t="s">
        <v>814</v>
      </c>
    </row>
    <row r="275">
      <c r="A275" s="125"/>
      <c r="B275" s="125"/>
      <c r="C275" s="125"/>
      <c r="D275" s="125"/>
      <c r="E275" s="125"/>
      <c r="F275" s="125"/>
      <c r="G275" s="125"/>
      <c r="H275" s="125"/>
      <c r="I275" s="124" t="str">
        <f t="shared" si="4"/>
        <v/>
      </c>
      <c r="J275" s="119" t="s">
        <v>814</v>
      </c>
    </row>
    <row r="276">
      <c r="A276" s="125"/>
      <c r="B276" s="125"/>
      <c r="C276" s="125"/>
      <c r="D276" s="125"/>
      <c r="E276" s="125"/>
      <c r="F276" s="125"/>
      <c r="G276" s="125"/>
      <c r="H276" s="125"/>
      <c r="I276" s="124" t="str">
        <f t="shared" si="4"/>
        <v/>
      </c>
      <c r="J276" s="119" t="s">
        <v>814</v>
      </c>
    </row>
    <row r="277">
      <c r="A277" s="125"/>
      <c r="B277" s="125"/>
      <c r="C277" s="125"/>
      <c r="D277" s="125"/>
      <c r="E277" s="125"/>
      <c r="F277" s="125"/>
      <c r="G277" s="125"/>
      <c r="H277" s="125"/>
      <c r="I277" s="124" t="str">
        <f t="shared" si="4"/>
        <v/>
      </c>
      <c r="J277" s="119" t="s">
        <v>814</v>
      </c>
    </row>
    <row r="278">
      <c r="A278" s="125"/>
      <c r="B278" s="125"/>
      <c r="C278" s="125"/>
      <c r="D278" s="125"/>
      <c r="E278" s="125"/>
      <c r="F278" s="125"/>
      <c r="G278" s="125"/>
      <c r="H278" s="125"/>
      <c r="I278" s="124" t="str">
        <f t="shared" si="4"/>
        <v/>
      </c>
      <c r="J278" s="119" t="s">
        <v>814</v>
      </c>
    </row>
    <row r="279">
      <c r="A279" s="125"/>
      <c r="B279" s="125"/>
      <c r="C279" s="125"/>
      <c r="D279" s="125"/>
      <c r="E279" s="125"/>
      <c r="F279" s="125"/>
      <c r="G279" s="125"/>
      <c r="H279" s="125"/>
      <c r="I279" s="124" t="str">
        <f t="shared" si="4"/>
        <v/>
      </c>
      <c r="J279" s="119" t="s">
        <v>814</v>
      </c>
    </row>
    <row r="280">
      <c r="A280" s="125"/>
      <c r="B280" s="125"/>
      <c r="C280" s="125"/>
      <c r="D280" s="125"/>
      <c r="E280" s="125"/>
      <c r="F280" s="125"/>
      <c r="G280" s="125"/>
      <c r="H280" s="125"/>
      <c r="I280" s="124" t="str">
        <f t="shared" si="4"/>
        <v/>
      </c>
      <c r="J280" s="119" t="s">
        <v>814</v>
      </c>
    </row>
    <row r="281">
      <c r="A281" s="125"/>
      <c r="B281" s="125"/>
      <c r="C281" s="125"/>
      <c r="D281" s="125"/>
      <c r="E281" s="125"/>
      <c r="F281" s="125"/>
      <c r="G281" s="125"/>
      <c r="H281" s="125"/>
      <c r="I281" s="124" t="str">
        <f t="shared" si="4"/>
        <v/>
      </c>
      <c r="J281" s="119" t="s">
        <v>814</v>
      </c>
    </row>
    <row r="282">
      <c r="A282" s="125"/>
      <c r="B282" s="125"/>
      <c r="C282" s="125"/>
      <c r="D282" s="125"/>
      <c r="E282" s="125"/>
      <c r="F282" s="125"/>
      <c r="G282" s="125"/>
      <c r="H282" s="125"/>
      <c r="I282" s="124" t="str">
        <f t="shared" si="4"/>
        <v/>
      </c>
      <c r="J282" s="119" t="s">
        <v>814</v>
      </c>
    </row>
    <row r="283">
      <c r="A283" s="125"/>
      <c r="B283" s="125"/>
      <c r="C283" s="125"/>
      <c r="D283" s="125"/>
      <c r="E283" s="125"/>
      <c r="F283" s="125"/>
      <c r="G283" s="125"/>
      <c r="H283" s="125"/>
      <c r="I283" s="124" t="str">
        <f t="shared" si="4"/>
        <v/>
      </c>
      <c r="J283" s="119" t="s">
        <v>814</v>
      </c>
    </row>
    <row r="284">
      <c r="A284" s="125"/>
      <c r="B284" s="125"/>
      <c r="C284" s="125"/>
      <c r="D284" s="125"/>
      <c r="E284" s="125"/>
      <c r="F284" s="125"/>
      <c r="G284" s="125"/>
      <c r="H284" s="125"/>
      <c r="I284" s="124" t="str">
        <f t="shared" si="4"/>
        <v/>
      </c>
      <c r="J284" s="119" t="s">
        <v>814</v>
      </c>
    </row>
    <row r="285">
      <c r="A285" s="125"/>
      <c r="B285" s="125"/>
      <c r="C285" s="125"/>
      <c r="D285" s="125"/>
      <c r="E285" s="125"/>
      <c r="F285" s="125"/>
      <c r="G285" s="125"/>
      <c r="H285" s="125"/>
      <c r="I285" s="124" t="str">
        <f t="shared" si="4"/>
        <v/>
      </c>
      <c r="J285" s="119" t="s">
        <v>814</v>
      </c>
    </row>
    <row r="286">
      <c r="A286" s="125"/>
      <c r="B286" s="125"/>
      <c r="C286" s="125"/>
      <c r="D286" s="125"/>
      <c r="E286" s="125"/>
      <c r="F286" s="125"/>
      <c r="G286" s="125"/>
      <c r="H286" s="125"/>
      <c r="I286" s="124" t="str">
        <f t="shared" si="4"/>
        <v/>
      </c>
      <c r="J286" s="119" t="s">
        <v>814</v>
      </c>
    </row>
    <row r="287">
      <c r="A287" s="125"/>
      <c r="B287" s="125"/>
      <c r="C287" s="125"/>
      <c r="D287" s="125"/>
      <c r="E287" s="125"/>
      <c r="F287" s="125"/>
      <c r="G287" s="125"/>
      <c r="H287" s="125"/>
      <c r="I287" s="124" t="str">
        <f t="shared" si="4"/>
        <v/>
      </c>
      <c r="J287" s="119" t="s">
        <v>814</v>
      </c>
    </row>
    <row r="288">
      <c r="A288" s="125"/>
      <c r="B288" s="125"/>
      <c r="C288" s="125"/>
      <c r="D288" s="125"/>
      <c r="E288" s="125"/>
      <c r="F288" s="125"/>
      <c r="G288" s="125"/>
      <c r="H288" s="125"/>
      <c r="I288" s="124" t="str">
        <f t="shared" si="4"/>
        <v/>
      </c>
      <c r="J288" s="119" t="s">
        <v>814</v>
      </c>
    </row>
    <row r="289">
      <c r="A289" s="125"/>
      <c r="B289" s="125"/>
      <c r="C289" s="125"/>
      <c r="D289" s="125"/>
      <c r="E289" s="125"/>
      <c r="F289" s="125"/>
      <c r="G289" s="125"/>
      <c r="H289" s="125"/>
      <c r="I289" s="124" t="str">
        <f t="shared" si="4"/>
        <v/>
      </c>
      <c r="J289" s="119" t="s">
        <v>814</v>
      </c>
    </row>
    <row r="290">
      <c r="A290" s="125"/>
      <c r="B290" s="125"/>
      <c r="C290" s="125"/>
      <c r="D290" s="125"/>
      <c r="E290" s="125"/>
      <c r="F290" s="125"/>
      <c r="G290" s="125"/>
      <c r="H290" s="125"/>
      <c r="I290" s="124" t="str">
        <f t="shared" si="4"/>
        <v/>
      </c>
      <c r="J290" s="119" t="s">
        <v>814</v>
      </c>
    </row>
    <row r="291">
      <c r="A291" s="125"/>
      <c r="B291" s="125"/>
      <c r="C291" s="125"/>
      <c r="D291" s="125"/>
      <c r="E291" s="125"/>
      <c r="F291" s="125"/>
      <c r="G291" s="125"/>
      <c r="H291" s="125"/>
      <c r="I291" s="124" t="str">
        <f t="shared" si="4"/>
        <v/>
      </c>
      <c r="J291" s="119" t="s">
        <v>814</v>
      </c>
    </row>
    <row r="292">
      <c r="A292" s="125"/>
      <c r="B292" s="125"/>
      <c r="C292" s="125"/>
      <c r="D292" s="125"/>
      <c r="E292" s="125"/>
      <c r="F292" s="125"/>
      <c r="G292" s="125"/>
      <c r="H292" s="125"/>
      <c r="I292" s="124" t="str">
        <f t="shared" si="4"/>
        <v/>
      </c>
      <c r="J292" s="119" t="s">
        <v>814</v>
      </c>
    </row>
    <row r="293">
      <c r="A293" s="125"/>
      <c r="B293" s="125"/>
      <c r="C293" s="125"/>
      <c r="D293" s="125"/>
      <c r="E293" s="125"/>
      <c r="F293" s="125"/>
      <c r="G293" s="125"/>
      <c r="H293" s="125"/>
      <c r="I293" s="124" t="str">
        <f t="shared" si="4"/>
        <v/>
      </c>
      <c r="J293" s="119" t="s">
        <v>814</v>
      </c>
    </row>
    <row r="294">
      <c r="A294" s="125"/>
      <c r="B294" s="125"/>
      <c r="C294" s="125"/>
      <c r="D294" s="125"/>
      <c r="E294" s="125"/>
      <c r="F294" s="125"/>
      <c r="G294" s="125"/>
      <c r="H294" s="125"/>
      <c r="I294" s="124" t="str">
        <f t="shared" si="4"/>
        <v/>
      </c>
      <c r="J294" s="119" t="s">
        <v>814</v>
      </c>
    </row>
    <row r="295">
      <c r="A295" s="125"/>
      <c r="B295" s="125"/>
      <c r="C295" s="125"/>
      <c r="D295" s="125"/>
      <c r="E295" s="125"/>
      <c r="F295" s="125"/>
      <c r="G295" s="125"/>
      <c r="H295" s="125"/>
      <c r="I295" s="124" t="str">
        <f t="shared" si="4"/>
        <v/>
      </c>
      <c r="J295" s="119" t="s">
        <v>814</v>
      </c>
    </row>
    <row r="296">
      <c r="A296" s="125"/>
      <c r="B296" s="125"/>
      <c r="C296" s="125"/>
      <c r="D296" s="125"/>
      <c r="E296" s="125"/>
      <c r="F296" s="125"/>
      <c r="G296" s="125"/>
      <c r="H296" s="125"/>
      <c r="I296" s="124" t="str">
        <f t="shared" si="4"/>
        <v/>
      </c>
      <c r="J296" s="119" t="s">
        <v>814</v>
      </c>
    </row>
    <row r="297">
      <c r="A297" s="125"/>
      <c r="B297" s="125"/>
      <c r="C297" s="125"/>
      <c r="D297" s="125"/>
      <c r="E297" s="125"/>
      <c r="F297" s="125"/>
      <c r="G297" s="125"/>
      <c r="H297" s="125"/>
      <c r="I297" s="124" t="str">
        <f t="shared" si="4"/>
        <v/>
      </c>
      <c r="J297" s="119" t="s">
        <v>814</v>
      </c>
    </row>
    <row r="298">
      <c r="A298" s="125"/>
      <c r="B298" s="125"/>
      <c r="C298" s="125"/>
      <c r="D298" s="125"/>
      <c r="E298" s="125"/>
      <c r="F298" s="125"/>
      <c r="G298" s="125"/>
      <c r="H298" s="125"/>
      <c r="I298" s="124" t="str">
        <f t="shared" si="4"/>
        <v/>
      </c>
      <c r="J298" s="119" t="s">
        <v>814</v>
      </c>
    </row>
    <row r="299">
      <c r="A299" s="125"/>
      <c r="B299" s="125"/>
      <c r="C299" s="125"/>
      <c r="D299" s="125"/>
      <c r="E299" s="125"/>
      <c r="F299" s="125"/>
      <c r="G299" s="125"/>
      <c r="H299" s="125"/>
      <c r="I299" s="124" t="str">
        <f t="shared" si="4"/>
        <v/>
      </c>
      <c r="J299" s="119" t="s">
        <v>814</v>
      </c>
    </row>
    <row r="300">
      <c r="A300" s="125"/>
      <c r="B300" s="125"/>
      <c r="C300" s="125"/>
      <c r="D300" s="125"/>
      <c r="E300" s="125"/>
      <c r="F300" s="125"/>
      <c r="G300" s="125"/>
      <c r="H300" s="125"/>
      <c r="I300" s="124" t="str">
        <f t="shared" si="4"/>
        <v/>
      </c>
      <c r="J300" s="119" t="s">
        <v>814</v>
      </c>
    </row>
    <row r="301">
      <c r="A301" s="125"/>
      <c r="B301" s="125"/>
      <c r="C301" s="125"/>
      <c r="D301" s="125"/>
      <c r="E301" s="125"/>
      <c r="F301" s="125"/>
      <c r="G301" s="125"/>
      <c r="H301" s="125"/>
      <c r="I301" s="124" t="str">
        <f t="shared" si="4"/>
        <v/>
      </c>
      <c r="J301" s="119" t="s">
        <v>814</v>
      </c>
    </row>
    <row r="302">
      <c r="A302" s="125"/>
      <c r="B302" s="125"/>
      <c r="C302" s="125"/>
      <c r="D302" s="125"/>
      <c r="E302" s="125"/>
      <c r="F302" s="125"/>
      <c r="G302" s="125"/>
      <c r="H302" s="125"/>
      <c r="I302" s="124" t="str">
        <f t="shared" si="4"/>
        <v/>
      </c>
      <c r="J302" s="119" t="s">
        <v>814</v>
      </c>
    </row>
    <row r="303">
      <c r="A303" s="125"/>
      <c r="B303" s="125"/>
      <c r="C303" s="125"/>
      <c r="D303" s="125"/>
      <c r="E303" s="125"/>
      <c r="F303" s="125"/>
      <c r="G303" s="125"/>
      <c r="H303" s="125"/>
      <c r="I303" s="124" t="str">
        <f t="shared" si="4"/>
        <v/>
      </c>
      <c r="J303" s="119" t="s">
        <v>814</v>
      </c>
    </row>
    <row r="304">
      <c r="A304" s="125"/>
      <c r="B304" s="125"/>
      <c r="C304" s="125"/>
      <c r="D304" s="125"/>
      <c r="E304" s="125"/>
      <c r="F304" s="125"/>
      <c r="G304" s="125"/>
      <c r="H304" s="125"/>
      <c r="I304" s="124" t="str">
        <f t="shared" si="4"/>
        <v/>
      </c>
      <c r="J304" s="119" t="s">
        <v>814</v>
      </c>
    </row>
    <row r="305">
      <c r="A305" s="125"/>
      <c r="B305" s="125"/>
      <c r="C305" s="125"/>
      <c r="D305" s="125"/>
      <c r="E305" s="125"/>
      <c r="F305" s="125"/>
      <c r="G305" s="125"/>
      <c r="H305" s="125"/>
      <c r="I305" s="124" t="str">
        <f t="shared" si="4"/>
        <v/>
      </c>
      <c r="J305" s="119" t="s">
        <v>814</v>
      </c>
    </row>
    <row r="306">
      <c r="A306" s="125"/>
      <c r="B306" s="125"/>
      <c r="C306" s="125"/>
      <c r="D306" s="125"/>
      <c r="E306" s="125"/>
      <c r="F306" s="125"/>
      <c r="G306" s="125"/>
      <c r="H306" s="125"/>
      <c r="I306" s="124" t="str">
        <f t="shared" si="4"/>
        <v/>
      </c>
      <c r="J306" s="119" t="s">
        <v>814</v>
      </c>
    </row>
    <row r="307">
      <c r="A307" s="125"/>
      <c r="B307" s="125"/>
      <c r="C307" s="125"/>
      <c r="D307" s="125"/>
      <c r="E307" s="125"/>
      <c r="F307" s="125"/>
      <c r="G307" s="125"/>
      <c r="H307" s="125"/>
      <c r="I307" s="124" t="str">
        <f t="shared" si="4"/>
        <v/>
      </c>
      <c r="J307" s="119" t="s">
        <v>814</v>
      </c>
    </row>
    <row r="308">
      <c r="A308" s="125"/>
      <c r="B308" s="125"/>
      <c r="C308" s="125"/>
      <c r="D308" s="125"/>
      <c r="E308" s="125"/>
      <c r="F308" s="125"/>
      <c r="G308" s="125"/>
      <c r="H308" s="125"/>
      <c r="I308" s="124" t="str">
        <f t="shared" si="4"/>
        <v/>
      </c>
      <c r="J308" s="119" t="s">
        <v>814</v>
      </c>
    </row>
    <row r="309">
      <c r="A309" s="125"/>
      <c r="B309" s="125"/>
      <c r="C309" s="125"/>
      <c r="D309" s="125"/>
      <c r="E309" s="125"/>
      <c r="F309" s="125"/>
      <c r="G309" s="125"/>
      <c r="H309" s="125"/>
      <c r="I309" s="124" t="str">
        <f t="shared" si="4"/>
        <v/>
      </c>
      <c r="J309" s="119" t="s">
        <v>814</v>
      </c>
    </row>
    <row r="310">
      <c r="A310" s="125"/>
      <c r="B310" s="125"/>
      <c r="C310" s="125"/>
      <c r="D310" s="125"/>
      <c r="E310" s="125"/>
      <c r="F310" s="125"/>
      <c r="G310" s="125"/>
      <c r="H310" s="125"/>
      <c r="I310" s="124" t="str">
        <f t="shared" si="4"/>
        <v/>
      </c>
      <c r="J310" s="119" t="s">
        <v>814</v>
      </c>
    </row>
    <row r="311">
      <c r="A311" s="125"/>
      <c r="B311" s="125"/>
      <c r="C311" s="125"/>
      <c r="D311" s="125"/>
      <c r="E311" s="125"/>
      <c r="F311" s="125"/>
      <c r="G311" s="125"/>
      <c r="H311" s="125"/>
      <c r="I311" s="124" t="str">
        <f t="shared" si="4"/>
        <v/>
      </c>
      <c r="J311" s="119" t="s">
        <v>814</v>
      </c>
    </row>
    <row r="312">
      <c r="A312" s="125"/>
      <c r="B312" s="125"/>
      <c r="C312" s="125"/>
      <c r="D312" s="125"/>
      <c r="E312" s="125"/>
      <c r="F312" s="125"/>
      <c r="G312" s="125"/>
      <c r="H312" s="125"/>
      <c r="I312" s="124" t="str">
        <f t="shared" si="4"/>
        <v/>
      </c>
      <c r="J312" s="119" t="s">
        <v>814</v>
      </c>
    </row>
    <row r="313">
      <c r="A313" s="125"/>
      <c r="B313" s="125"/>
      <c r="C313" s="125"/>
      <c r="D313" s="125"/>
      <c r="E313" s="125"/>
      <c r="F313" s="125"/>
      <c r="G313" s="125"/>
      <c r="H313" s="125"/>
      <c r="I313" s="124" t="str">
        <f t="shared" si="4"/>
        <v/>
      </c>
      <c r="J313" s="119" t="s">
        <v>814</v>
      </c>
    </row>
    <row r="314">
      <c r="A314" s="125"/>
      <c r="B314" s="125"/>
      <c r="C314" s="125"/>
      <c r="D314" s="125"/>
      <c r="E314" s="125"/>
      <c r="F314" s="125"/>
      <c r="G314" s="125"/>
      <c r="H314" s="125"/>
      <c r="I314" s="124" t="str">
        <f t="shared" si="4"/>
        <v/>
      </c>
      <c r="J314" s="119" t="s">
        <v>814</v>
      </c>
    </row>
    <row r="315">
      <c r="A315" s="125"/>
      <c r="B315" s="125"/>
      <c r="C315" s="125"/>
      <c r="D315" s="125"/>
      <c r="E315" s="125"/>
      <c r="F315" s="125"/>
      <c r="G315" s="125"/>
      <c r="H315" s="125"/>
      <c r="I315" s="124" t="str">
        <f t="shared" si="4"/>
        <v/>
      </c>
      <c r="J315" s="119" t="s">
        <v>814</v>
      </c>
    </row>
    <row r="316">
      <c r="A316" s="125"/>
      <c r="B316" s="125"/>
      <c r="C316" s="125"/>
      <c r="D316" s="125"/>
      <c r="E316" s="125"/>
      <c r="F316" s="125"/>
      <c r="G316" s="125"/>
      <c r="H316" s="125"/>
      <c r="I316" s="124" t="str">
        <f t="shared" si="4"/>
        <v/>
      </c>
      <c r="J316" s="119" t="s">
        <v>814</v>
      </c>
    </row>
    <row r="317">
      <c r="A317" s="125"/>
      <c r="B317" s="125"/>
      <c r="C317" s="125"/>
      <c r="D317" s="125"/>
      <c r="E317" s="125"/>
      <c r="F317" s="125"/>
      <c r="G317" s="125"/>
      <c r="H317" s="125"/>
      <c r="I317" s="124" t="str">
        <f t="shared" si="4"/>
        <v/>
      </c>
      <c r="J317" s="119" t="s">
        <v>814</v>
      </c>
    </row>
    <row r="318">
      <c r="A318" s="125"/>
      <c r="B318" s="125"/>
      <c r="C318" s="125"/>
      <c r="D318" s="125"/>
      <c r="E318" s="125"/>
      <c r="F318" s="125"/>
      <c r="G318" s="125"/>
      <c r="H318" s="125"/>
      <c r="I318" s="124" t="str">
        <f t="shared" si="4"/>
        <v/>
      </c>
      <c r="J318" s="119" t="s">
        <v>814</v>
      </c>
    </row>
    <row r="319">
      <c r="A319" s="125"/>
      <c r="B319" s="125"/>
      <c r="C319" s="125"/>
      <c r="D319" s="125"/>
      <c r="E319" s="125"/>
      <c r="F319" s="125"/>
      <c r="G319" s="125"/>
      <c r="H319" s="125"/>
      <c r="I319" s="124" t="str">
        <f t="shared" si="4"/>
        <v/>
      </c>
      <c r="J319" s="119" t="s">
        <v>814</v>
      </c>
    </row>
    <row r="320">
      <c r="A320" s="125"/>
      <c r="B320" s="125"/>
      <c r="C320" s="125"/>
      <c r="D320" s="125"/>
      <c r="E320" s="125"/>
      <c r="F320" s="125"/>
      <c r="G320" s="125"/>
      <c r="H320" s="125"/>
      <c r="I320" s="124" t="str">
        <f t="shared" si="4"/>
        <v/>
      </c>
      <c r="J320" s="119" t="s">
        <v>814</v>
      </c>
    </row>
    <row r="321">
      <c r="A321" s="125"/>
      <c r="B321" s="125"/>
      <c r="C321" s="125"/>
      <c r="D321" s="125"/>
      <c r="E321" s="125"/>
      <c r="F321" s="125"/>
      <c r="G321" s="125"/>
      <c r="H321" s="125"/>
      <c r="I321" s="124" t="str">
        <f t="shared" si="4"/>
        <v/>
      </c>
      <c r="J321" s="119" t="s">
        <v>814</v>
      </c>
    </row>
    <row r="322">
      <c r="A322" s="125"/>
      <c r="B322" s="125"/>
      <c r="C322" s="125"/>
      <c r="D322" s="125"/>
      <c r="E322" s="125"/>
      <c r="F322" s="125"/>
      <c r="G322" s="125"/>
      <c r="H322" s="125"/>
      <c r="I322" s="124" t="str">
        <f t="shared" si="4"/>
        <v/>
      </c>
      <c r="J322" s="119" t="s">
        <v>814</v>
      </c>
    </row>
    <row r="323">
      <c r="A323" s="125"/>
      <c r="B323" s="125"/>
      <c r="C323" s="125"/>
      <c r="D323" s="125"/>
      <c r="E323" s="125"/>
      <c r="F323" s="125"/>
      <c r="G323" s="125"/>
      <c r="H323" s="125"/>
      <c r="I323" s="124" t="str">
        <f t="shared" si="4"/>
        <v/>
      </c>
      <c r="J323" s="119" t="s">
        <v>814</v>
      </c>
    </row>
    <row r="324">
      <c r="A324" s="125"/>
      <c r="B324" s="125"/>
      <c r="C324" s="125"/>
      <c r="D324" s="125"/>
      <c r="E324" s="125"/>
      <c r="F324" s="125"/>
      <c r="G324" s="125"/>
      <c r="H324" s="125"/>
      <c r="I324" s="124" t="str">
        <f t="shared" si="4"/>
        <v/>
      </c>
      <c r="J324" s="119" t="s">
        <v>814</v>
      </c>
    </row>
    <row r="325">
      <c r="A325" s="125"/>
      <c r="B325" s="125"/>
      <c r="C325" s="125"/>
      <c r="D325" s="125"/>
      <c r="E325" s="125"/>
      <c r="F325" s="125"/>
      <c r="G325" s="125"/>
      <c r="H325" s="125"/>
      <c r="I325" s="124" t="str">
        <f t="shared" si="4"/>
        <v/>
      </c>
      <c r="J325" s="119" t="s">
        <v>814</v>
      </c>
    </row>
    <row r="326">
      <c r="A326" s="125"/>
      <c r="B326" s="125"/>
      <c r="C326" s="125"/>
      <c r="D326" s="125"/>
      <c r="E326" s="125"/>
      <c r="F326" s="125"/>
      <c r="G326" s="125"/>
      <c r="H326" s="125"/>
      <c r="I326" s="124" t="str">
        <f t="shared" si="4"/>
        <v/>
      </c>
      <c r="J326" s="119" t="s">
        <v>814</v>
      </c>
    </row>
    <row r="327">
      <c r="A327" s="125"/>
      <c r="B327" s="125"/>
      <c r="C327" s="125"/>
      <c r="D327" s="125"/>
      <c r="E327" s="125"/>
      <c r="F327" s="125"/>
      <c r="G327" s="125"/>
      <c r="H327" s="125"/>
      <c r="I327" s="124" t="str">
        <f t="shared" si="4"/>
        <v/>
      </c>
      <c r="J327" s="119" t="s">
        <v>814</v>
      </c>
    </row>
    <row r="328">
      <c r="A328" s="125"/>
      <c r="B328" s="125"/>
      <c r="C328" s="125"/>
      <c r="D328" s="125"/>
      <c r="E328" s="125"/>
      <c r="F328" s="125"/>
      <c r="G328" s="125"/>
      <c r="H328" s="125"/>
      <c r="I328" s="124" t="str">
        <f t="shared" si="4"/>
        <v/>
      </c>
      <c r="J328" s="119" t="s">
        <v>814</v>
      </c>
    </row>
    <row r="329">
      <c r="A329" s="125"/>
      <c r="B329" s="125"/>
      <c r="C329" s="125"/>
      <c r="D329" s="125"/>
      <c r="E329" s="125"/>
      <c r="F329" s="125"/>
      <c r="G329" s="125"/>
      <c r="H329" s="125"/>
      <c r="I329" s="124" t="str">
        <f t="shared" si="4"/>
        <v/>
      </c>
      <c r="J329" s="119" t="s">
        <v>814</v>
      </c>
    </row>
    <row r="330">
      <c r="A330" s="125"/>
      <c r="B330" s="125"/>
      <c r="C330" s="125"/>
      <c r="D330" s="125"/>
      <c r="E330" s="125"/>
      <c r="F330" s="125"/>
      <c r="G330" s="125"/>
      <c r="H330" s="125"/>
      <c r="I330" s="124" t="str">
        <f t="shared" si="4"/>
        <v/>
      </c>
      <c r="J330" s="119" t="s">
        <v>814</v>
      </c>
    </row>
    <row r="331">
      <c r="A331" s="125"/>
      <c r="B331" s="125"/>
      <c r="C331" s="125"/>
      <c r="D331" s="125"/>
      <c r="E331" s="125"/>
      <c r="F331" s="125"/>
      <c r="G331" s="125"/>
      <c r="H331" s="125"/>
      <c r="I331" s="124" t="str">
        <f t="shared" si="4"/>
        <v/>
      </c>
      <c r="J331" s="119" t="s">
        <v>814</v>
      </c>
    </row>
    <row r="332">
      <c r="A332" s="125"/>
      <c r="B332" s="125"/>
      <c r="C332" s="125"/>
      <c r="D332" s="125"/>
      <c r="E332" s="125"/>
      <c r="F332" s="125"/>
      <c r="G332" s="125"/>
      <c r="H332" s="125"/>
      <c r="I332" s="124" t="str">
        <f t="shared" si="4"/>
        <v/>
      </c>
      <c r="J332" s="119" t="s">
        <v>814</v>
      </c>
    </row>
    <row r="333">
      <c r="A333" s="125"/>
      <c r="B333" s="125"/>
      <c r="C333" s="125"/>
      <c r="D333" s="125"/>
      <c r="E333" s="125"/>
      <c r="F333" s="125"/>
      <c r="G333" s="125"/>
      <c r="H333" s="125"/>
      <c r="I333" s="124" t="str">
        <f t="shared" si="4"/>
        <v/>
      </c>
      <c r="J333" s="119" t="s">
        <v>814</v>
      </c>
    </row>
    <row r="334">
      <c r="A334" s="125"/>
      <c r="B334" s="125"/>
      <c r="C334" s="125"/>
      <c r="D334" s="125"/>
      <c r="E334" s="125"/>
      <c r="F334" s="125"/>
      <c r="G334" s="125"/>
      <c r="H334" s="125"/>
      <c r="I334" s="124" t="str">
        <f t="shared" si="4"/>
        <v/>
      </c>
      <c r="J334" s="119" t="s">
        <v>814</v>
      </c>
    </row>
    <row r="335">
      <c r="A335" s="125"/>
      <c r="B335" s="125"/>
      <c r="C335" s="125"/>
      <c r="D335" s="125"/>
      <c r="E335" s="125"/>
      <c r="F335" s="125"/>
      <c r="G335" s="125"/>
      <c r="H335" s="125"/>
      <c r="I335" s="124" t="str">
        <f t="shared" si="4"/>
        <v/>
      </c>
      <c r="J335" s="119" t="s">
        <v>814</v>
      </c>
    </row>
    <row r="336">
      <c r="A336" s="125"/>
      <c r="B336" s="125"/>
      <c r="C336" s="125"/>
      <c r="D336" s="125"/>
      <c r="E336" s="125"/>
      <c r="F336" s="125"/>
      <c r="G336" s="125"/>
      <c r="H336" s="125"/>
      <c r="I336" s="124" t="str">
        <f t="shared" si="4"/>
        <v/>
      </c>
      <c r="J336" s="119" t="s">
        <v>814</v>
      </c>
    </row>
    <row r="337">
      <c r="A337" s="125"/>
      <c r="B337" s="125"/>
      <c r="C337" s="125"/>
      <c r="D337" s="125"/>
      <c r="E337" s="125"/>
      <c r="F337" s="125"/>
      <c r="G337" s="125"/>
      <c r="H337" s="125"/>
      <c r="I337" s="124" t="str">
        <f t="shared" si="4"/>
        <v/>
      </c>
      <c r="J337" s="119" t="s">
        <v>814</v>
      </c>
    </row>
    <row r="338">
      <c r="A338" s="125"/>
      <c r="B338" s="125"/>
      <c r="C338" s="125"/>
      <c r="D338" s="125"/>
      <c r="E338" s="125"/>
      <c r="F338" s="125"/>
      <c r="G338" s="125"/>
      <c r="H338" s="125"/>
      <c r="I338" s="124" t="str">
        <f t="shared" si="4"/>
        <v/>
      </c>
      <c r="J338" s="119" t="s">
        <v>814</v>
      </c>
    </row>
    <row r="339">
      <c r="A339" s="125"/>
      <c r="B339" s="125"/>
      <c r="C339" s="125"/>
      <c r="D339" s="125"/>
      <c r="E339" s="125"/>
      <c r="F339" s="125"/>
      <c r="G339" s="125"/>
      <c r="H339" s="125"/>
      <c r="I339" s="124" t="str">
        <f t="shared" si="4"/>
        <v/>
      </c>
      <c r="J339" s="119" t="s">
        <v>814</v>
      </c>
    </row>
    <row r="340">
      <c r="A340" s="125"/>
      <c r="B340" s="125"/>
      <c r="C340" s="125"/>
      <c r="D340" s="125"/>
      <c r="E340" s="125"/>
      <c r="F340" s="125"/>
      <c r="G340" s="125"/>
      <c r="H340" s="125"/>
      <c r="I340" s="124" t="str">
        <f t="shared" si="4"/>
        <v/>
      </c>
      <c r="J340" s="119" t="s">
        <v>814</v>
      </c>
    </row>
    <row r="341">
      <c r="A341" s="125"/>
      <c r="B341" s="125"/>
      <c r="C341" s="125"/>
      <c r="D341" s="125"/>
      <c r="E341" s="125"/>
      <c r="F341" s="125"/>
      <c r="G341" s="125"/>
      <c r="H341" s="125"/>
      <c r="I341" s="124" t="str">
        <f t="shared" si="4"/>
        <v/>
      </c>
      <c r="J341" s="119" t="s">
        <v>814</v>
      </c>
    </row>
    <row r="342">
      <c r="A342" s="125"/>
      <c r="B342" s="125"/>
      <c r="C342" s="125"/>
      <c r="D342" s="125"/>
      <c r="E342" s="125"/>
      <c r="F342" s="125"/>
      <c r="G342" s="125"/>
      <c r="H342" s="125"/>
      <c r="I342" s="124" t="str">
        <f t="shared" si="4"/>
        <v/>
      </c>
      <c r="J342" s="119" t="s">
        <v>814</v>
      </c>
    </row>
    <row r="343">
      <c r="A343" s="125"/>
      <c r="B343" s="125"/>
      <c r="C343" s="125"/>
      <c r="D343" s="125"/>
      <c r="E343" s="125"/>
      <c r="F343" s="125"/>
      <c r="G343" s="125"/>
      <c r="H343" s="125"/>
      <c r="I343" s="124" t="str">
        <f t="shared" si="4"/>
        <v/>
      </c>
      <c r="J343" s="119" t="s">
        <v>814</v>
      </c>
    </row>
    <row r="344">
      <c r="A344" s="125"/>
      <c r="B344" s="125"/>
      <c r="C344" s="125"/>
      <c r="D344" s="125"/>
      <c r="E344" s="125"/>
      <c r="F344" s="125"/>
      <c r="G344" s="125"/>
      <c r="H344" s="125"/>
      <c r="I344" s="124" t="str">
        <f t="shared" si="4"/>
        <v/>
      </c>
      <c r="J344" s="119" t="s">
        <v>814</v>
      </c>
    </row>
    <row r="345">
      <c r="A345" s="125"/>
      <c r="B345" s="125"/>
      <c r="C345" s="125"/>
      <c r="D345" s="125"/>
      <c r="E345" s="125"/>
      <c r="F345" s="125"/>
      <c r="G345" s="125"/>
      <c r="H345" s="125"/>
      <c r="I345" s="124" t="str">
        <f t="shared" si="4"/>
        <v/>
      </c>
      <c r="J345" s="119" t="s">
        <v>814</v>
      </c>
    </row>
    <row r="346">
      <c r="A346" s="125"/>
      <c r="B346" s="125"/>
      <c r="C346" s="125"/>
      <c r="D346" s="125"/>
      <c r="E346" s="125"/>
      <c r="F346" s="125"/>
      <c r="G346" s="125"/>
      <c r="H346" s="125"/>
      <c r="I346" s="124" t="str">
        <f t="shared" si="4"/>
        <v/>
      </c>
      <c r="J346" s="119" t="s">
        <v>814</v>
      </c>
    </row>
    <row r="347">
      <c r="A347" s="125"/>
      <c r="B347" s="125"/>
      <c r="C347" s="125"/>
      <c r="D347" s="125"/>
      <c r="E347" s="125"/>
      <c r="F347" s="125"/>
      <c r="G347" s="125"/>
      <c r="H347" s="125"/>
      <c r="I347" s="124" t="str">
        <f t="shared" si="4"/>
        <v/>
      </c>
      <c r="J347" s="119" t="s">
        <v>814</v>
      </c>
    </row>
    <row r="348">
      <c r="A348" s="125"/>
      <c r="B348" s="125"/>
      <c r="C348" s="125"/>
      <c r="D348" s="125"/>
      <c r="E348" s="125"/>
      <c r="F348" s="125"/>
      <c r="G348" s="125"/>
      <c r="H348" s="125"/>
      <c r="I348" s="124" t="str">
        <f t="shared" si="4"/>
        <v/>
      </c>
      <c r="J348" s="119" t="s">
        <v>814</v>
      </c>
    </row>
    <row r="349">
      <c r="A349" s="125"/>
      <c r="B349" s="125"/>
      <c r="C349" s="125"/>
      <c r="D349" s="125"/>
      <c r="E349" s="125"/>
      <c r="F349" s="125"/>
      <c r="G349" s="125"/>
      <c r="H349" s="125"/>
      <c r="I349" s="124" t="str">
        <f t="shared" si="4"/>
        <v/>
      </c>
      <c r="J349" s="119" t="s">
        <v>814</v>
      </c>
    </row>
    <row r="350">
      <c r="A350" s="125"/>
      <c r="B350" s="125"/>
      <c r="C350" s="125"/>
      <c r="D350" s="125"/>
      <c r="E350" s="125"/>
      <c r="F350" s="125"/>
      <c r="G350" s="125"/>
      <c r="H350" s="125"/>
      <c r="I350" s="124" t="str">
        <f t="shared" si="4"/>
        <v/>
      </c>
      <c r="J350" s="119" t="s">
        <v>814</v>
      </c>
    </row>
    <row r="351">
      <c r="A351" s="125"/>
      <c r="B351" s="125"/>
      <c r="C351" s="125"/>
      <c r="D351" s="125"/>
      <c r="E351" s="125"/>
      <c r="F351" s="125"/>
      <c r="G351" s="125"/>
      <c r="H351" s="125"/>
      <c r="I351" s="124" t="str">
        <f t="shared" si="4"/>
        <v/>
      </c>
      <c r="J351" s="119" t="s">
        <v>814</v>
      </c>
    </row>
    <row r="352">
      <c r="A352" s="125"/>
      <c r="B352" s="125"/>
      <c r="C352" s="125"/>
      <c r="D352" s="125"/>
      <c r="E352" s="125"/>
      <c r="F352" s="125"/>
      <c r="G352" s="125"/>
      <c r="H352" s="125"/>
      <c r="I352" s="124" t="str">
        <f t="shared" si="4"/>
        <v/>
      </c>
      <c r="J352" s="119" t="s">
        <v>814</v>
      </c>
    </row>
    <row r="353">
      <c r="A353" s="125"/>
      <c r="B353" s="125"/>
      <c r="C353" s="125"/>
      <c r="D353" s="125"/>
      <c r="E353" s="125"/>
      <c r="F353" s="125"/>
      <c r="G353" s="125"/>
      <c r="H353" s="125"/>
      <c r="I353" s="124" t="str">
        <f t="shared" si="4"/>
        <v/>
      </c>
      <c r="J353" s="119" t="s">
        <v>814</v>
      </c>
    </row>
    <row r="354">
      <c r="A354" s="125"/>
      <c r="B354" s="125"/>
      <c r="C354" s="125"/>
      <c r="D354" s="125"/>
      <c r="E354" s="125"/>
      <c r="F354" s="125"/>
      <c r="G354" s="125"/>
      <c r="H354" s="125"/>
      <c r="I354" s="124" t="str">
        <f t="shared" si="4"/>
        <v/>
      </c>
      <c r="J354" s="119" t="s">
        <v>814</v>
      </c>
    </row>
    <row r="355">
      <c r="A355" s="125"/>
      <c r="B355" s="125"/>
      <c r="C355" s="125"/>
      <c r="D355" s="125"/>
      <c r="E355" s="125"/>
      <c r="F355" s="125"/>
      <c r="G355" s="125"/>
      <c r="H355" s="125"/>
      <c r="I355" s="124" t="str">
        <f t="shared" si="4"/>
        <v/>
      </c>
      <c r="J355" s="119" t="s">
        <v>814</v>
      </c>
    </row>
    <row r="356">
      <c r="A356" s="125"/>
      <c r="B356" s="125"/>
      <c r="C356" s="125"/>
      <c r="D356" s="125"/>
      <c r="E356" s="125"/>
      <c r="F356" s="125"/>
      <c r="G356" s="125"/>
      <c r="H356" s="125"/>
      <c r="I356" s="124" t="str">
        <f t="shared" si="4"/>
        <v/>
      </c>
      <c r="J356" s="119" t="s">
        <v>814</v>
      </c>
    </row>
    <row r="357">
      <c r="A357" s="125"/>
      <c r="B357" s="125"/>
      <c r="C357" s="125"/>
      <c r="D357" s="125"/>
      <c r="E357" s="125"/>
      <c r="F357" s="125"/>
      <c r="G357" s="125"/>
      <c r="H357" s="125"/>
      <c r="I357" s="124" t="str">
        <f t="shared" si="4"/>
        <v/>
      </c>
      <c r="J357" s="119" t="s">
        <v>814</v>
      </c>
    </row>
    <row r="358">
      <c r="A358" s="125"/>
      <c r="B358" s="125"/>
      <c r="C358" s="125"/>
      <c r="D358" s="125"/>
      <c r="E358" s="125"/>
      <c r="F358" s="125"/>
      <c r="G358" s="125"/>
      <c r="H358" s="125"/>
      <c r="I358" s="124" t="str">
        <f t="shared" si="4"/>
        <v/>
      </c>
      <c r="J358" s="119" t="s">
        <v>814</v>
      </c>
    </row>
    <row r="359">
      <c r="A359" s="125"/>
      <c r="B359" s="125"/>
      <c r="C359" s="125"/>
      <c r="D359" s="125"/>
      <c r="E359" s="125"/>
      <c r="F359" s="125"/>
      <c r="G359" s="125"/>
      <c r="H359" s="125"/>
      <c r="I359" s="124" t="str">
        <f t="shared" si="4"/>
        <v/>
      </c>
      <c r="J359" s="119" t="s">
        <v>814</v>
      </c>
    </row>
    <row r="360">
      <c r="A360" s="125"/>
      <c r="B360" s="125"/>
      <c r="C360" s="125"/>
      <c r="D360" s="125"/>
      <c r="E360" s="125"/>
      <c r="F360" s="125"/>
      <c r="G360" s="125"/>
      <c r="H360" s="125"/>
      <c r="I360" s="124" t="str">
        <f t="shared" si="4"/>
        <v/>
      </c>
      <c r="J360" s="119" t="s">
        <v>814</v>
      </c>
    </row>
    <row r="361">
      <c r="A361" s="125"/>
      <c r="B361" s="125"/>
      <c r="C361" s="125"/>
      <c r="D361" s="125"/>
      <c r="E361" s="125"/>
      <c r="F361" s="125"/>
      <c r="G361" s="125"/>
      <c r="H361" s="125"/>
      <c r="I361" s="124" t="str">
        <f t="shared" si="4"/>
        <v/>
      </c>
      <c r="J361" s="119" t="s">
        <v>814</v>
      </c>
    </row>
    <row r="362">
      <c r="A362" s="125"/>
      <c r="B362" s="125"/>
      <c r="C362" s="125"/>
      <c r="D362" s="125"/>
      <c r="E362" s="125"/>
      <c r="F362" s="125"/>
      <c r="G362" s="125"/>
      <c r="H362" s="125"/>
      <c r="I362" s="124" t="str">
        <f t="shared" si="4"/>
        <v/>
      </c>
      <c r="J362" s="119" t="s">
        <v>814</v>
      </c>
    </row>
    <row r="363">
      <c r="A363" s="125"/>
      <c r="B363" s="125"/>
      <c r="C363" s="125"/>
      <c r="D363" s="125"/>
      <c r="E363" s="125"/>
      <c r="F363" s="125"/>
      <c r="G363" s="125"/>
      <c r="H363" s="125"/>
      <c r="I363" s="124" t="str">
        <f t="shared" si="4"/>
        <v/>
      </c>
      <c r="J363" s="119" t="s">
        <v>814</v>
      </c>
    </row>
    <row r="364">
      <c r="A364" s="125"/>
      <c r="B364" s="125"/>
      <c r="C364" s="125"/>
      <c r="D364" s="125"/>
      <c r="E364" s="125"/>
      <c r="F364" s="125"/>
      <c r="G364" s="125"/>
      <c r="H364" s="125"/>
      <c r="I364" s="124" t="str">
        <f t="shared" si="4"/>
        <v/>
      </c>
      <c r="J364" s="119" t="s">
        <v>814</v>
      </c>
    </row>
    <row r="365">
      <c r="A365" s="125"/>
      <c r="B365" s="125"/>
      <c r="C365" s="125"/>
      <c r="D365" s="125"/>
      <c r="E365" s="125"/>
      <c r="F365" s="125"/>
      <c r="G365" s="125"/>
      <c r="H365" s="125"/>
      <c r="I365" s="124" t="str">
        <f t="shared" si="4"/>
        <v/>
      </c>
      <c r="J365" s="119" t="s">
        <v>814</v>
      </c>
    </row>
    <row r="366">
      <c r="A366" s="125"/>
      <c r="B366" s="125"/>
      <c r="C366" s="125"/>
      <c r="D366" s="125"/>
      <c r="E366" s="125"/>
      <c r="F366" s="125"/>
      <c r="G366" s="125"/>
      <c r="H366" s="125"/>
      <c r="I366" s="124" t="str">
        <f t="shared" si="4"/>
        <v/>
      </c>
      <c r="J366" s="119" t="s">
        <v>814</v>
      </c>
    </row>
    <row r="367">
      <c r="A367" s="125"/>
      <c r="B367" s="125"/>
      <c r="C367" s="125"/>
      <c r="D367" s="125"/>
      <c r="E367" s="125"/>
      <c r="F367" s="125"/>
      <c r="G367" s="125"/>
      <c r="H367" s="125"/>
      <c r="I367" s="124" t="str">
        <f t="shared" si="4"/>
        <v/>
      </c>
      <c r="J367" s="119" t="s">
        <v>814</v>
      </c>
    </row>
    <row r="368">
      <c r="A368" s="125"/>
      <c r="B368" s="125"/>
      <c r="C368" s="125"/>
      <c r="D368" s="125"/>
      <c r="E368" s="125"/>
      <c r="F368" s="125"/>
      <c r="G368" s="125"/>
      <c r="H368" s="125"/>
      <c r="I368" s="124" t="str">
        <f t="shared" si="4"/>
        <v/>
      </c>
      <c r="J368" s="119" t="s">
        <v>814</v>
      </c>
    </row>
    <row r="369">
      <c r="A369" s="125"/>
      <c r="B369" s="125"/>
      <c r="C369" s="125"/>
      <c r="D369" s="125"/>
      <c r="E369" s="125"/>
      <c r="F369" s="125"/>
      <c r="G369" s="125"/>
      <c r="H369" s="125"/>
      <c r="I369" s="124" t="str">
        <f t="shared" si="4"/>
        <v/>
      </c>
      <c r="J369" s="119" t="s">
        <v>814</v>
      </c>
    </row>
    <row r="370">
      <c r="A370" s="125"/>
      <c r="B370" s="125"/>
      <c r="C370" s="125"/>
      <c r="D370" s="125"/>
      <c r="E370" s="125"/>
      <c r="F370" s="125"/>
      <c r="G370" s="125"/>
      <c r="H370" s="125"/>
      <c r="I370" s="124" t="str">
        <f t="shared" si="4"/>
        <v/>
      </c>
      <c r="J370" s="119" t="s">
        <v>814</v>
      </c>
    </row>
    <row r="371">
      <c r="A371" s="125"/>
      <c r="B371" s="125"/>
      <c r="C371" s="125"/>
      <c r="D371" s="125"/>
      <c r="E371" s="125"/>
      <c r="F371" s="125"/>
      <c r="G371" s="125"/>
      <c r="H371" s="125"/>
      <c r="I371" s="124" t="str">
        <f t="shared" si="4"/>
        <v/>
      </c>
      <c r="J371" s="119" t="s">
        <v>814</v>
      </c>
    </row>
    <row r="372">
      <c r="A372" s="125"/>
      <c r="B372" s="125"/>
      <c r="C372" s="125"/>
      <c r="D372" s="125"/>
      <c r="E372" s="125"/>
      <c r="F372" s="125"/>
      <c r="G372" s="125"/>
      <c r="H372" s="125"/>
      <c r="I372" s="124" t="str">
        <f t="shared" si="4"/>
        <v/>
      </c>
      <c r="J372" s="119" t="s">
        <v>814</v>
      </c>
    </row>
    <row r="373">
      <c r="A373" s="125"/>
      <c r="B373" s="125"/>
      <c r="C373" s="125"/>
      <c r="D373" s="125"/>
      <c r="E373" s="125"/>
      <c r="F373" s="125"/>
      <c r="G373" s="125"/>
      <c r="H373" s="125"/>
      <c r="I373" s="124" t="str">
        <f t="shared" si="4"/>
        <v/>
      </c>
      <c r="J373" s="119" t="s">
        <v>814</v>
      </c>
    </row>
    <row r="374">
      <c r="A374" s="125"/>
      <c r="B374" s="125"/>
      <c r="C374" s="125"/>
      <c r="D374" s="125"/>
      <c r="E374" s="125"/>
      <c r="F374" s="125"/>
      <c r="G374" s="125"/>
      <c r="H374" s="125"/>
      <c r="I374" s="124" t="str">
        <f t="shared" si="4"/>
        <v/>
      </c>
      <c r="J374" s="119" t="s">
        <v>814</v>
      </c>
    </row>
    <row r="375">
      <c r="A375" s="125"/>
      <c r="B375" s="125"/>
      <c r="C375" s="125"/>
      <c r="D375" s="125"/>
      <c r="E375" s="125"/>
      <c r="F375" s="125"/>
      <c r="G375" s="125"/>
      <c r="H375" s="125"/>
      <c r="I375" s="124" t="str">
        <f t="shared" si="4"/>
        <v/>
      </c>
      <c r="J375" s="119" t="s">
        <v>814</v>
      </c>
    </row>
    <row r="376">
      <c r="A376" s="125"/>
      <c r="B376" s="125"/>
      <c r="C376" s="125"/>
      <c r="D376" s="125"/>
      <c r="E376" s="125"/>
      <c r="F376" s="125"/>
      <c r="G376" s="125"/>
      <c r="H376" s="125"/>
      <c r="I376" s="124" t="str">
        <f t="shared" si="4"/>
        <v/>
      </c>
      <c r="J376" s="119" t="s">
        <v>814</v>
      </c>
    </row>
    <row r="377">
      <c r="A377" s="125"/>
      <c r="B377" s="125"/>
      <c r="C377" s="125"/>
      <c r="D377" s="125"/>
      <c r="E377" s="125"/>
      <c r="F377" s="125"/>
      <c r="G377" s="125"/>
      <c r="H377" s="125"/>
      <c r="I377" s="124" t="str">
        <f t="shared" si="4"/>
        <v/>
      </c>
      <c r="J377" s="119" t="s">
        <v>814</v>
      </c>
    </row>
    <row r="378">
      <c r="A378" s="125"/>
      <c r="B378" s="125"/>
      <c r="C378" s="125"/>
      <c r="D378" s="125"/>
      <c r="E378" s="125"/>
      <c r="F378" s="125"/>
      <c r="G378" s="125"/>
      <c r="H378" s="125"/>
      <c r="I378" s="124" t="str">
        <f t="shared" si="4"/>
        <v/>
      </c>
      <c r="J378" s="119" t="s">
        <v>814</v>
      </c>
    </row>
    <row r="379">
      <c r="A379" s="125"/>
      <c r="B379" s="125"/>
      <c r="C379" s="125"/>
      <c r="D379" s="125"/>
      <c r="E379" s="125"/>
      <c r="F379" s="125"/>
      <c r="G379" s="125"/>
      <c r="H379" s="125"/>
      <c r="I379" s="124" t="str">
        <f t="shared" si="4"/>
        <v/>
      </c>
      <c r="J379" s="119" t="s">
        <v>814</v>
      </c>
    </row>
    <row r="380">
      <c r="A380" s="125"/>
      <c r="B380" s="125"/>
      <c r="C380" s="125"/>
      <c r="D380" s="125"/>
      <c r="E380" s="125"/>
      <c r="F380" s="125"/>
      <c r="G380" s="125"/>
      <c r="H380" s="125"/>
      <c r="I380" s="124" t="str">
        <f t="shared" si="4"/>
        <v/>
      </c>
      <c r="J380" s="119" t="s">
        <v>814</v>
      </c>
    </row>
    <row r="381">
      <c r="A381" s="125"/>
      <c r="B381" s="125"/>
      <c r="C381" s="125"/>
      <c r="D381" s="125"/>
      <c r="E381" s="125"/>
      <c r="F381" s="125"/>
      <c r="G381" s="125"/>
      <c r="H381" s="125"/>
      <c r="I381" s="124" t="str">
        <f t="shared" si="4"/>
        <v/>
      </c>
      <c r="J381" s="119" t="s">
        <v>814</v>
      </c>
    </row>
    <row r="382">
      <c r="A382" s="125"/>
      <c r="B382" s="125"/>
      <c r="C382" s="125"/>
      <c r="D382" s="125"/>
      <c r="E382" s="125"/>
      <c r="F382" s="125"/>
      <c r="G382" s="125"/>
      <c r="H382" s="125"/>
      <c r="I382" s="124" t="str">
        <f t="shared" si="4"/>
        <v/>
      </c>
      <c r="J382" s="119" t="s">
        <v>814</v>
      </c>
    </row>
    <row r="383">
      <c r="A383" s="125"/>
      <c r="B383" s="125"/>
      <c r="C383" s="125"/>
      <c r="D383" s="125"/>
      <c r="E383" s="125"/>
      <c r="F383" s="125"/>
      <c r="G383" s="125"/>
      <c r="H383" s="125"/>
      <c r="I383" s="124" t="str">
        <f t="shared" si="4"/>
        <v/>
      </c>
      <c r="J383" s="119" t="s">
        <v>814</v>
      </c>
    </row>
    <row r="384">
      <c r="A384" s="125"/>
      <c r="B384" s="125"/>
      <c r="C384" s="125"/>
      <c r="D384" s="125"/>
      <c r="E384" s="125"/>
      <c r="F384" s="125"/>
      <c r="G384" s="125"/>
      <c r="H384" s="125"/>
      <c r="I384" s="124" t="str">
        <f t="shared" si="4"/>
        <v/>
      </c>
      <c r="J384" s="119" t="s">
        <v>814</v>
      </c>
    </row>
    <row r="385">
      <c r="A385" s="125"/>
      <c r="B385" s="125"/>
      <c r="C385" s="125"/>
      <c r="D385" s="125"/>
      <c r="E385" s="125"/>
      <c r="F385" s="125"/>
      <c r="G385" s="125"/>
      <c r="H385" s="125"/>
      <c r="I385" s="124" t="str">
        <f t="shared" si="4"/>
        <v/>
      </c>
      <c r="J385" s="119" t="s">
        <v>814</v>
      </c>
    </row>
    <row r="386">
      <c r="A386" s="125"/>
      <c r="B386" s="125"/>
      <c r="C386" s="125"/>
      <c r="D386" s="125"/>
      <c r="E386" s="125"/>
      <c r="F386" s="125"/>
      <c r="G386" s="125"/>
      <c r="H386" s="125"/>
      <c r="I386" s="124" t="str">
        <f t="shared" si="4"/>
        <v/>
      </c>
      <c r="J386" s="119" t="s">
        <v>814</v>
      </c>
    </row>
    <row r="387">
      <c r="A387" s="125"/>
      <c r="B387" s="125"/>
      <c r="C387" s="125"/>
      <c r="D387" s="125"/>
      <c r="E387" s="125"/>
      <c r="F387" s="125"/>
      <c r="G387" s="125"/>
      <c r="H387" s="125"/>
      <c r="I387" s="124" t="str">
        <f t="shared" si="4"/>
        <v/>
      </c>
      <c r="J387" s="119" t="s">
        <v>814</v>
      </c>
    </row>
    <row r="388">
      <c r="A388" s="125"/>
      <c r="B388" s="125"/>
      <c r="C388" s="125"/>
      <c r="D388" s="125"/>
      <c r="E388" s="125"/>
      <c r="F388" s="125"/>
      <c r="G388" s="125"/>
      <c r="H388" s="125"/>
      <c r="I388" s="124" t="str">
        <f t="shared" si="4"/>
        <v/>
      </c>
      <c r="J388" s="119" t="s">
        <v>814</v>
      </c>
    </row>
    <row r="389">
      <c r="A389" s="125"/>
      <c r="B389" s="125"/>
      <c r="C389" s="125"/>
      <c r="D389" s="125"/>
      <c r="E389" s="125"/>
      <c r="F389" s="125"/>
      <c r="G389" s="125"/>
      <c r="H389" s="125"/>
      <c r="I389" s="124" t="str">
        <f t="shared" si="4"/>
        <v/>
      </c>
      <c r="J389" s="119" t="s">
        <v>814</v>
      </c>
    </row>
    <row r="390">
      <c r="A390" s="125"/>
      <c r="B390" s="125"/>
      <c r="C390" s="125"/>
      <c r="D390" s="125"/>
      <c r="E390" s="125"/>
      <c r="F390" s="125"/>
      <c r="G390" s="125"/>
      <c r="H390" s="125"/>
      <c r="I390" s="124" t="str">
        <f t="shared" si="4"/>
        <v/>
      </c>
      <c r="J390" s="119" t="s">
        <v>814</v>
      </c>
    </row>
    <row r="391">
      <c r="A391" s="125"/>
      <c r="B391" s="125"/>
      <c r="C391" s="125"/>
      <c r="D391" s="125"/>
      <c r="E391" s="125"/>
      <c r="F391" s="125"/>
      <c r="G391" s="125"/>
      <c r="H391" s="125"/>
      <c r="I391" s="124" t="str">
        <f t="shared" si="4"/>
        <v/>
      </c>
      <c r="J391" s="119" t="s">
        <v>814</v>
      </c>
    </row>
    <row r="392">
      <c r="A392" s="125"/>
      <c r="B392" s="125"/>
      <c r="C392" s="125"/>
      <c r="D392" s="125"/>
      <c r="E392" s="125"/>
      <c r="F392" s="125"/>
      <c r="G392" s="125"/>
      <c r="H392" s="125"/>
      <c r="I392" s="124" t="str">
        <f t="shared" si="4"/>
        <v/>
      </c>
      <c r="J392" s="119" t="s">
        <v>814</v>
      </c>
    </row>
    <row r="393">
      <c r="A393" s="125"/>
      <c r="B393" s="125"/>
      <c r="C393" s="125"/>
      <c r="D393" s="125"/>
      <c r="E393" s="125"/>
      <c r="F393" s="125"/>
      <c r="G393" s="125"/>
      <c r="H393" s="125"/>
      <c r="I393" s="124" t="str">
        <f t="shared" si="4"/>
        <v/>
      </c>
      <c r="J393" s="119" t="s">
        <v>814</v>
      </c>
    </row>
    <row r="394">
      <c r="A394" s="125"/>
      <c r="B394" s="125"/>
      <c r="C394" s="125"/>
      <c r="D394" s="125"/>
      <c r="E394" s="125"/>
      <c r="F394" s="125"/>
      <c r="G394" s="125"/>
      <c r="H394" s="125"/>
      <c r="I394" s="124" t="str">
        <f t="shared" si="4"/>
        <v/>
      </c>
      <c r="J394" s="119" t="s">
        <v>814</v>
      </c>
    </row>
    <row r="395">
      <c r="A395" s="125"/>
      <c r="B395" s="125"/>
      <c r="C395" s="125"/>
      <c r="D395" s="125"/>
      <c r="E395" s="125"/>
      <c r="F395" s="125"/>
      <c r="G395" s="125"/>
      <c r="H395" s="125"/>
      <c r="I395" s="124" t="str">
        <f t="shared" si="4"/>
        <v/>
      </c>
      <c r="J395" s="119" t="s">
        <v>814</v>
      </c>
    </row>
    <row r="396">
      <c r="A396" s="125"/>
      <c r="B396" s="125"/>
      <c r="C396" s="125"/>
      <c r="D396" s="125"/>
      <c r="E396" s="125"/>
      <c r="F396" s="125"/>
      <c r="G396" s="125"/>
      <c r="H396" s="125"/>
      <c r="I396" s="124" t="str">
        <f t="shared" si="4"/>
        <v/>
      </c>
      <c r="J396" s="119" t="s">
        <v>814</v>
      </c>
    </row>
    <row r="397">
      <c r="A397" s="125"/>
      <c r="B397" s="125"/>
      <c r="C397" s="125"/>
      <c r="D397" s="125"/>
      <c r="E397" s="125"/>
      <c r="F397" s="125"/>
      <c r="G397" s="125"/>
      <c r="H397" s="125"/>
      <c r="I397" s="124" t="str">
        <f t="shared" si="4"/>
        <v/>
      </c>
      <c r="J397" s="119" t="s">
        <v>814</v>
      </c>
    </row>
    <row r="398">
      <c r="A398" s="125"/>
      <c r="B398" s="125"/>
      <c r="C398" s="125"/>
      <c r="D398" s="125"/>
      <c r="E398" s="125"/>
      <c r="F398" s="125"/>
      <c r="G398" s="125"/>
      <c r="H398" s="125"/>
      <c r="I398" s="124" t="str">
        <f t="shared" si="4"/>
        <v/>
      </c>
      <c r="J398" s="119" t="s">
        <v>814</v>
      </c>
    </row>
    <row r="399">
      <c r="A399" s="125"/>
      <c r="B399" s="125"/>
      <c r="C399" s="125"/>
      <c r="D399" s="125"/>
      <c r="E399" s="125"/>
      <c r="F399" s="125"/>
      <c r="G399" s="125"/>
      <c r="H399" s="125"/>
      <c r="I399" s="124" t="str">
        <f t="shared" si="4"/>
        <v/>
      </c>
      <c r="J399" s="119" t="s">
        <v>814</v>
      </c>
    </row>
    <row r="400">
      <c r="A400" s="125"/>
      <c r="B400" s="125"/>
      <c r="C400" s="125"/>
      <c r="D400" s="125"/>
      <c r="E400" s="125"/>
      <c r="F400" s="125"/>
      <c r="G400" s="125"/>
      <c r="H400" s="125"/>
      <c r="I400" s="124" t="str">
        <f t="shared" si="4"/>
        <v/>
      </c>
      <c r="J400" s="119" t="s">
        <v>814</v>
      </c>
    </row>
    <row r="401">
      <c r="A401" s="125"/>
      <c r="B401" s="125"/>
      <c r="C401" s="125"/>
      <c r="D401" s="125"/>
      <c r="E401" s="125"/>
      <c r="F401" s="125"/>
      <c r="G401" s="125"/>
      <c r="H401" s="125"/>
      <c r="I401" s="124" t="str">
        <f t="shared" si="4"/>
        <v/>
      </c>
      <c r="J401" s="119" t="s">
        <v>814</v>
      </c>
    </row>
    <row r="402">
      <c r="A402" s="125"/>
      <c r="B402" s="125"/>
      <c r="C402" s="125"/>
      <c r="D402" s="125"/>
      <c r="E402" s="125"/>
      <c r="F402" s="125"/>
      <c r="G402" s="125"/>
      <c r="H402" s="125"/>
      <c r="I402" s="124" t="str">
        <f t="shared" si="4"/>
        <v/>
      </c>
      <c r="J402" s="119" t="s">
        <v>814</v>
      </c>
    </row>
    <row r="403">
      <c r="A403" s="125"/>
      <c r="B403" s="125"/>
      <c r="C403" s="125"/>
      <c r="D403" s="125"/>
      <c r="E403" s="125"/>
      <c r="F403" s="125"/>
      <c r="G403" s="125"/>
      <c r="H403" s="125"/>
      <c r="I403" s="124" t="str">
        <f t="shared" si="4"/>
        <v/>
      </c>
      <c r="J403" s="119" t="s">
        <v>814</v>
      </c>
    </row>
    <row r="404">
      <c r="A404" s="125"/>
      <c r="B404" s="125"/>
      <c r="C404" s="125"/>
      <c r="D404" s="125"/>
      <c r="E404" s="125"/>
      <c r="F404" s="125"/>
      <c r="G404" s="125"/>
      <c r="H404" s="125"/>
      <c r="I404" s="124" t="str">
        <f t="shared" si="4"/>
        <v/>
      </c>
      <c r="J404" s="119" t="s">
        <v>814</v>
      </c>
    </row>
    <row r="405">
      <c r="A405" s="125"/>
      <c r="B405" s="125"/>
      <c r="C405" s="125"/>
      <c r="D405" s="125"/>
      <c r="E405" s="125"/>
      <c r="F405" s="125"/>
      <c r="G405" s="125"/>
      <c r="H405" s="125"/>
      <c r="I405" s="124" t="str">
        <f t="shared" si="4"/>
        <v/>
      </c>
      <c r="J405" s="119" t="s">
        <v>814</v>
      </c>
    </row>
    <row r="406">
      <c r="A406" s="125"/>
      <c r="B406" s="125"/>
      <c r="C406" s="125"/>
      <c r="D406" s="125"/>
      <c r="E406" s="125"/>
      <c r="F406" s="125"/>
      <c r="G406" s="125"/>
      <c r="H406" s="125"/>
      <c r="I406" s="124" t="str">
        <f t="shared" si="4"/>
        <v/>
      </c>
      <c r="J406" s="119" t="s">
        <v>814</v>
      </c>
    </row>
    <row r="407">
      <c r="A407" s="125"/>
      <c r="B407" s="125"/>
      <c r="C407" s="125"/>
      <c r="D407" s="125"/>
      <c r="E407" s="125"/>
      <c r="F407" s="125"/>
      <c r="G407" s="125"/>
      <c r="H407" s="125"/>
      <c r="I407" s="124" t="str">
        <f t="shared" si="4"/>
        <v/>
      </c>
      <c r="J407" s="119" t="s">
        <v>814</v>
      </c>
    </row>
    <row r="408">
      <c r="A408" s="125"/>
      <c r="B408" s="125"/>
      <c r="C408" s="125"/>
      <c r="D408" s="125"/>
      <c r="E408" s="125"/>
      <c r="F408" s="125"/>
      <c r="G408" s="125"/>
      <c r="H408" s="125"/>
      <c r="I408" s="124" t="str">
        <f t="shared" si="4"/>
        <v/>
      </c>
      <c r="J408" s="119" t="s">
        <v>814</v>
      </c>
    </row>
    <row r="409">
      <c r="A409" s="125"/>
      <c r="B409" s="125"/>
      <c r="C409" s="125"/>
      <c r="D409" s="125"/>
      <c r="E409" s="125"/>
      <c r="F409" s="125"/>
      <c r="G409" s="125"/>
      <c r="H409" s="125"/>
      <c r="I409" s="124" t="str">
        <f t="shared" si="4"/>
        <v/>
      </c>
      <c r="J409" s="119" t="s">
        <v>814</v>
      </c>
    </row>
    <row r="410">
      <c r="A410" s="125"/>
      <c r="B410" s="125"/>
      <c r="C410" s="125"/>
      <c r="D410" s="125"/>
      <c r="E410" s="125"/>
      <c r="F410" s="125"/>
      <c r="G410" s="125"/>
      <c r="H410" s="125"/>
      <c r="I410" s="124" t="str">
        <f t="shared" si="4"/>
        <v/>
      </c>
      <c r="J410" s="119" t="s">
        <v>814</v>
      </c>
    </row>
    <row r="411">
      <c r="A411" s="125"/>
      <c r="B411" s="125"/>
      <c r="C411" s="125"/>
      <c r="D411" s="125"/>
      <c r="E411" s="125"/>
      <c r="F411" s="125"/>
      <c r="G411" s="125"/>
      <c r="H411" s="125"/>
      <c r="I411" s="124" t="str">
        <f t="shared" si="4"/>
        <v/>
      </c>
      <c r="J411" s="119" t="s">
        <v>814</v>
      </c>
    </row>
    <row r="412">
      <c r="A412" s="125"/>
      <c r="B412" s="125"/>
      <c r="C412" s="125"/>
      <c r="D412" s="125"/>
      <c r="E412" s="125"/>
      <c r="F412" s="125"/>
      <c r="G412" s="125"/>
      <c r="H412" s="125"/>
      <c r="I412" s="124" t="str">
        <f t="shared" si="4"/>
        <v/>
      </c>
      <c r="J412" s="119" t="s">
        <v>814</v>
      </c>
    </row>
    <row r="413">
      <c r="A413" s="125"/>
      <c r="B413" s="125"/>
      <c r="C413" s="125"/>
      <c r="D413" s="125"/>
      <c r="E413" s="125"/>
      <c r="F413" s="125"/>
      <c r="G413" s="125"/>
      <c r="H413" s="125"/>
      <c r="I413" s="124" t="str">
        <f t="shared" si="4"/>
        <v/>
      </c>
      <c r="J413" s="119" t="s">
        <v>814</v>
      </c>
    </row>
    <row r="414">
      <c r="A414" s="125"/>
      <c r="B414" s="125"/>
      <c r="C414" s="125"/>
      <c r="D414" s="125"/>
      <c r="E414" s="125"/>
      <c r="F414" s="125"/>
      <c r="G414" s="125"/>
      <c r="H414" s="125"/>
      <c r="I414" s="124" t="str">
        <f t="shared" si="4"/>
        <v/>
      </c>
      <c r="J414" s="119" t="s">
        <v>814</v>
      </c>
    </row>
    <row r="415">
      <c r="A415" s="125"/>
      <c r="B415" s="125"/>
      <c r="C415" s="125"/>
      <c r="D415" s="125"/>
      <c r="E415" s="125"/>
      <c r="F415" s="125"/>
      <c r="G415" s="125"/>
      <c r="H415" s="125"/>
      <c r="I415" s="124" t="str">
        <f t="shared" si="4"/>
        <v/>
      </c>
      <c r="J415" s="119" t="s">
        <v>814</v>
      </c>
    </row>
    <row r="416">
      <c r="A416" s="125"/>
      <c r="B416" s="125"/>
      <c r="C416" s="125"/>
      <c r="D416" s="125"/>
      <c r="E416" s="125"/>
      <c r="F416" s="125"/>
      <c r="G416" s="125"/>
      <c r="H416" s="125"/>
      <c r="I416" s="124" t="str">
        <f t="shared" si="4"/>
        <v/>
      </c>
      <c r="J416" s="119" t="s">
        <v>814</v>
      </c>
    </row>
    <row r="417">
      <c r="A417" s="125"/>
      <c r="B417" s="125"/>
      <c r="C417" s="125"/>
      <c r="D417" s="125"/>
      <c r="E417" s="125"/>
      <c r="F417" s="125"/>
      <c r="G417" s="125"/>
      <c r="H417" s="125"/>
      <c r="I417" s="124" t="str">
        <f t="shared" si="4"/>
        <v/>
      </c>
      <c r="J417" s="119" t="s">
        <v>814</v>
      </c>
    </row>
    <row r="418">
      <c r="A418" s="125"/>
      <c r="B418" s="125"/>
      <c r="C418" s="125"/>
      <c r="D418" s="125"/>
      <c r="E418" s="125"/>
      <c r="F418" s="125"/>
      <c r="G418" s="125"/>
      <c r="H418" s="125"/>
      <c r="I418" s="124" t="str">
        <f t="shared" si="4"/>
        <v/>
      </c>
      <c r="J418" s="119" t="s">
        <v>814</v>
      </c>
    </row>
    <row r="419">
      <c r="A419" s="125"/>
      <c r="B419" s="125"/>
      <c r="C419" s="125"/>
      <c r="D419" s="125"/>
      <c r="E419" s="125"/>
      <c r="F419" s="125"/>
      <c r="G419" s="125"/>
      <c r="H419" s="125"/>
      <c r="I419" s="124" t="str">
        <f t="shared" si="4"/>
        <v/>
      </c>
      <c r="J419" s="119" t="s">
        <v>814</v>
      </c>
    </row>
    <row r="420">
      <c r="A420" s="125"/>
      <c r="B420" s="125"/>
      <c r="C420" s="125"/>
      <c r="D420" s="125"/>
      <c r="E420" s="125"/>
      <c r="F420" s="125"/>
      <c r="G420" s="125"/>
      <c r="H420" s="125"/>
      <c r="I420" s="124" t="str">
        <f t="shared" si="4"/>
        <v/>
      </c>
      <c r="J420" s="119" t="s">
        <v>814</v>
      </c>
    </row>
    <row r="421">
      <c r="A421" s="125"/>
      <c r="B421" s="125"/>
      <c r="C421" s="125"/>
      <c r="D421" s="125"/>
      <c r="E421" s="125"/>
      <c r="F421" s="125"/>
      <c r="G421" s="125"/>
      <c r="H421" s="125"/>
      <c r="I421" s="124" t="str">
        <f t="shared" si="4"/>
        <v/>
      </c>
      <c r="J421" s="119" t="s">
        <v>814</v>
      </c>
    </row>
    <row r="422">
      <c r="A422" s="125"/>
      <c r="B422" s="125"/>
      <c r="C422" s="125"/>
      <c r="D422" s="125"/>
      <c r="E422" s="125"/>
      <c r="F422" s="125"/>
      <c r="G422" s="125"/>
      <c r="H422" s="125"/>
      <c r="I422" s="124" t="str">
        <f t="shared" si="4"/>
        <v/>
      </c>
      <c r="J422" s="119" t="s">
        <v>814</v>
      </c>
    </row>
    <row r="423">
      <c r="A423" s="125"/>
      <c r="B423" s="125"/>
      <c r="C423" s="125"/>
      <c r="D423" s="125"/>
      <c r="E423" s="125"/>
      <c r="F423" s="125"/>
      <c r="G423" s="125"/>
      <c r="H423" s="125"/>
      <c r="I423" s="124" t="str">
        <f t="shared" si="4"/>
        <v/>
      </c>
      <c r="J423" s="119" t="s">
        <v>814</v>
      </c>
    </row>
    <row r="424">
      <c r="A424" s="125"/>
      <c r="B424" s="125"/>
      <c r="C424" s="125"/>
      <c r="D424" s="125"/>
      <c r="E424" s="125"/>
      <c r="F424" s="125"/>
      <c r="G424" s="125"/>
      <c r="H424" s="125"/>
      <c r="I424" s="124" t="str">
        <f t="shared" si="4"/>
        <v/>
      </c>
      <c r="J424" s="119" t="s">
        <v>814</v>
      </c>
    </row>
    <row r="425">
      <c r="A425" s="125"/>
      <c r="B425" s="125"/>
      <c r="C425" s="125"/>
      <c r="D425" s="125"/>
      <c r="E425" s="125"/>
      <c r="F425" s="125"/>
      <c r="G425" s="125"/>
      <c r="H425" s="125"/>
      <c r="I425" s="124" t="str">
        <f t="shared" si="4"/>
        <v/>
      </c>
      <c r="J425" s="119" t="s">
        <v>814</v>
      </c>
    </row>
    <row r="426">
      <c r="A426" s="125"/>
      <c r="B426" s="125"/>
      <c r="C426" s="125"/>
      <c r="D426" s="125"/>
      <c r="E426" s="125"/>
      <c r="F426" s="125"/>
      <c r="G426" s="125"/>
      <c r="H426" s="125"/>
      <c r="I426" s="124" t="str">
        <f t="shared" si="4"/>
        <v/>
      </c>
      <c r="J426" s="119" t="s">
        <v>814</v>
      </c>
    </row>
    <row r="427">
      <c r="A427" s="125"/>
      <c r="B427" s="125"/>
      <c r="C427" s="125"/>
      <c r="D427" s="125"/>
      <c r="E427" s="125"/>
      <c r="F427" s="125"/>
      <c r="G427" s="125"/>
      <c r="H427" s="125"/>
      <c r="I427" s="124" t="str">
        <f t="shared" si="4"/>
        <v/>
      </c>
      <c r="J427" s="119" t="s">
        <v>814</v>
      </c>
    </row>
    <row r="428">
      <c r="A428" s="125"/>
      <c r="B428" s="125"/>
      <c r="C428" s="125"/>
      <c r="D428" s="125"/>
      <c r="E428" s="125"/>
      <c r="F428" s="125"/>
      <c r="G428" s="125"/>
      <c r="H428" s="125"/>
      <c r="I428" s="124" t="str">
        <f t="shared" si="4"/>
        <v/>
      </c>
      <c r="J428" s="119" t="s">
        <v>814</v>
      </c>
    </row>
    <row r="429">
      <c r="A429" s="125"/>
      <c r="B429" s="125"/>
      <c r="C429" s="125"/>
      <c r="D429" s="125"/>
      <c r="E429" s="125"/>
      <c r="F429" s="125"/>
      <c r="G429" s="125"/>
      <c r="H429" s="125"/>
      <c r="I429" s="124" t="str">
        <f t="shared" si="4"/>
        <v/>
      </c>
      <c r="J429" s="119" t="s">
        <v>814</v>
      </c>
    </row>
    <row r="430">
      <c r="A430" s="125"/>
      <c r="B430" s="125"/>
      <c r="C430" s="125"/>
      <c r="D430" s="125"/>
      <c r="E430" s="125"/>
      <c r="F430" s="125"/>
      <c r="G430" s="125"/>
      <c r="H430" s="125"/>
      <c r="I430" s="124" t="str">
        <f t="shared" si="4"/>
        <v/>
      </c>
      <c r="J430" s="119" t="s">
        <v>814</v>
      </c>
    </row>
    <row r="431">
      <c r="A431" s="125"/>
      <c r="B431" s="125"/>
      <c r="C431" s="125"/>
      <c r="D431" s="125"/>
      <c r="E431" s="125"/>
      <c r="F431" s="125"/>
      <c r="G431" s="125"/>
      <c r="H431" s="125"/>
      <c r="I431" s="124" t="str">
        <f t="shared" si="4"/>
        <v/>
      </c>
      <c r="J431" s="119" t="s">
        <v>814</v>
      </c>
    </row>
    <row r="432">
      <c r="A432" s="125"/>
      <c r="B432" s="125"/>
      <c r="C432" s="125"/>
      <c r="D432" s="125"/>
      <c r="E432" s="125"/>
      <c r="F432" s="125"/>
      <c r="G432" s="125"/>
      <c r="H432" s="125"/>
      <c r="I432" s="124" t="str">
        <f t="shared" si="4"/>
        <v/>
      </c>
      <c r="J432" s="119" t="s">
        <v>814</v>
      </c>
    </row>
    <row r="433">
      <c r="A433" s="125"/>
      <c r="B433" s="125"/>
      <c r="C433" s="125"/>
      <c r="D433" s="125"/>
      <c r="E433" s="125"/>
      <c r="F433" s="125"/>
      <c r="G433" s="125"/>
      <c r="H433" s="125"/>
      <c r="I433" s="124" t="str">
        <f t="shared" si="4"/>
        <v/>
      </c>
      <c r="J433" s="119" t="s">
        <v>814</v>
      </c>
    </row>
    <row r="434">
      <c r="A434" s="125"/>
      <c r="B434" s="125"/>
      <c r="C434" s="125"/>
      <c r="D434" s="125"/>
      <c r="E434" s="125"/>
      <c r="F434" s="125"/>
      <c r="G434" s="125"/>
      <c r="H434" s="125"/>
      <c r="I434" s="124" t="str">
        <f t="shared" si="4"/>
        <v/>
      </c>
      <c r="J434" s="119" t="s">
        <v>814</v>
      </c>
    </row>
    <row r="435">
      <c r="A435" s="125"/>
      <c r="B435" s="125"/>
      <c r="C435" s="125"/>
      <c r="D435" s="125"/>
      <c r="E435" s="125"/>
      <c r="F435" s="125"/>
      <c r="G435" s="125"/>
      <c r="H435" s="125"/>
      <c r="I435" s="124" t="str">
        <f t="shared" si="4"/>
        <v/>
      </c>
      <c r="J435" s="119" t="s">
        <v>814</v>
      </c>
    </row>
    <row r="436">
      <c r="A436" s="125"/>
      <c r="B436" s="125"/>
      <c r="C436" s="125"/>
      <c r="D436" s="125"/>
      <c r="E436" s="125"/>
      <c r="F436" s="125"/>
      <c r="G436" s="125"/>
      <c r="H436" s="125"/>
      <c r="I436" s="124" t="str">
        <f t="shared" si="4"/>
        <v/>
      </c>
      <c r="J436" s="119" t="s">
        <v>814</v>
      </c>
    </row>
    <row r="437">
      <c r="A437" s="125"/>
      <c r="B437" s="125"/>
      <c r="C437" s="125"/>
      <c r="D437" s="125"/>
      <c r="E437" s="125"/>
      <c r="F437" s="125"/>
      <c r="G437" s="125"/>
      <c r="H437" s="125"/>
      <c r="I437" s="124" t="str">
        <f t="shared" si="4"/>
        <v/>
      </c>
      <c r="J437" s="119" t="s">
        <v>814</v>
      </c>
    </row>
    <row r="438">
      <c r="A438" s="125"/>
      <c r="B438" s="125"/>
      <c r="C438" s="125"/>
      <c r="D438" s="125"/>
      <c r="E438" s="125"/>
      <c r="F438" s="125"/>
      <c r="G438" s="125"/>
      <c r="H438" s="125"/>
      <c r="I438" s="124" t="str">
        <f t="shared" si="4"/>
        <v/>
      </c>
      <c r="J438" s="119" t="s">
        <v>814</v>
      </c>
    </row>
    <row r="439">
      <c r="A439" s="125"/>
      <c r="B439" s="125"/>
      <c r="C439" s="125"/>
      <c r="D439" s="125"/>
      <c r="E439" s="125"/>
      <c r="F439" s="125"/>
      <c r="G439" s="125"/>
      <c r="H439" s="125"/>
      <c r="I439" s="124" t="str">
        <f t="shared" si="4"/>
        <v/>
      </c>
      <c r="J439" s="119" t="s">
        <v>814</v>
      </c>
    </row>
    <row r="440">
      <c r="A440" s="125"/>
      <c r="B440" s="125"/>
      <c r="C440" s="125"/>
      <c r="D440" s="125"/>
      <c r="E440" s="125"/>
      <c r="F440" s="125"/>
      <c r="G440" s="125"/>
      <c r="H440" s="125"/>
      <c r="I440" s="124" t="str">
        <f t="shared" si="4"/>
        <v/>
      </c>
      <c r="J440" s="119" t="s">
        <v>814</v>
      </c>
    </row>
    <row r="441">
      <c r="A441" s="125"/>
      <c r="B441" s="125"/>
      <c r="C441" s="125"/>
      <c r="D441" s="125"/>
      <c r="E441" s="125"/>
      <c r="F441" s="125"/>
      <c r="G441" s="125"/>
      <c r="H441" s="125"/>
      <c r="I441" s="124" t="str">
        <f t="shared" si="4"/>
        <v/>
      </c>
      <c r="J441" s="119" t="s">
        <v>814</v>
      </c>
    </row>
    <row r="442">
      <c r="A442" s="125"/>
      <c r="B442" s="125"/>
      <c r="C442" s="125"/>
      <c r="D442" s="125"/>
      <c r="E442" s="125"/>
      <c r="F442" s="125"/>
      <c r="G442" s="125"/>
      <c r="H442" s="125"/>
      <c r="I442" s="124" t="str">
        <f t="shared" si="4"/>
        <v/>
      </c>
      <c r="J442" s="119" t="s">
        <v>814</v>
      </c>
    </row>
    <row r="443">
      <c r="A443" s="125"/>
      <c r="B443" s="125"/>
      <c r="C443" s="125"/>
      <c r="D443" s="125"/>
      <c r="E443" s="125"/>
      <c r="F443" s="125"/>
      <c r="G443" s="125"/>
      <c r="H443" s="125"/>
      <c r="I443" s="124" t="str">
        <f t="shared" si="4"/>
        <v/>
      </c>
      <c r="J443" s="119" t="s">
        <v>814</v>
      </c>
    </row>
    <row r="444">
      <c r="A444" s="125"/>
      <c r="B444" s="125"/>
      <c r="C444" s="125"/>
      <c r="D444" s="125"/>
      <c r="E444" s="125"/>
      <c r="F444" s="125"/>
      <c r="G444" s="125"/>
      <c r="H444" s="125"/>
      <c r="I444" s="124" t="str">
        <f t="shared" si="4"/>
        <v/>
      </c>
      <c r="J444" s="119" t="s">
        <v>814</v>
      </c>
    </row>
    <row r="445">
      <c r="A445" s="125"/>
      <c r="B445" s="125"/>
      <c r="C445" s="125"/>
      <c r="D445" s="125"/>
      <c r="E445" s="125"/>
      <c r="F445" s="125"/>
      <c r="G445" s="125"/>
      <c r="H445" s="125"/>
      <c r="I445" s="124" t="str">
        <f t="shared" si="4"/>
        <v/>
      </c>
      <c r="J445" s="119" t="s">
        <v>814</v>
      </c>
    </row>
    <row r="446">
      <c r="A446" s="125"/>
      <c r="B446" s="125"/>
      <c r="C446" s="125"/>
      <c r="D446" s="125"/>
      <c r="E446" s="125"/>
      <c r="F446" s="125"/>
      <c r="G446" s="125"/>
      <c r="H446" s="125"/>
      <c r="I446" s="124" t="str">
        <f t="shared" si="4"/>
        <v/>
      </c>
      <c r="J446" s="119" t="s">
        <v>814</v>
      </c>
    </row>
    <row r="447">
      <c r="A447" s="125"/>
      <c r="B447" s="125"/>
      <c r="C447" s="125"/>
      <c r="D447" s="125"/>
      <c r="E447" s="125"/>
      <c r="F447" s="125"/>
      <c r="G447" s="125"/>
      <c r="H447" s="125"/>
      <c r="I447" s="124" t="str">
        <f t="shared" si="4"/>
        <v/>
      </c>
      <c r="J447" s="119" t="s">
        <v>814</v>
      </c>
    </row>
    <row r="448">
      <c r="A448" s="125"/>
      <c r="B448" s="125"/>
      <c r="C448" s="125"/>
      <c r="D448" s="125"/>
      <c r="E448" s="125"/>
      <c r="F448" s="125"/>
      <c r="G448" s="125"/>
      <c r="H448" s="125"/>
      <c r="I448" s="124" t="str">
        <f t="shared" si="4"/>
        <v/>
      </c>
      <c r="J448" s="119" t="s">
        <v>814</v>
      </c>
    </row>
    <row r="449">
      <c r="A449" s="125"/>
      <c r="B449" s="125"/>
      <c r="C449" s="125"/>
      <c r="D449" s="125"/>
      <c r="E449" s="125"/>
      <c r="F449" s="125"/>
      <c r="G449" s="125"/>
      <c r="H449" s="125"/>
      <c r="I449" s="124" t="str">
        <f t="shared" si="4"/>
        <v/>
      </c>
      <c r="J449" s="119" t="s">
        <v>814</v>
      </c>
    </row>
    <row r="450">
      <c r="A450" s="125"/>
      <c r="B450" s="125"/>
      <c r="C450" s="125"/>
      <c r="D450" s="125"/>
      <c r="E450" s="125"/>
      <c r="F450" s="125"/>
      <c r="G450" s="125"/>
      <c r="H450" s="125"/>
      <c r="I450" s="124" t="str">
        <f t="shared" si="4"/>
        <v/>
      </c>
      <c r="J450" s="119" t="s">
        <v>814</v>
      </c>
    </row>
    <row r="451">
      <c r="A451" s="125"/>
      <c r="B451" s="125"/>
      <c r="C451" s="125"/>
      <c r="D451" s="125"/>
      <c r="E451" s="125"/>
      <c r="F451" s="125"/>
      <c r="G451" s="125"/>
      <c r="H451" s="125"/>
      <c r="I451" s="124" t="str">
        <f t="shared" si="4"/>
        <v/>
      </c>
      <c r="J451" s="119" t="s">
        <v>814</v>
      </c>
    </row>
    <row r="452">
      <c r="A452" s="125"/>
      <c r="B452" s="125"/>
      <c r="C452" s="125"/>
      <c r="D452" s="125"/>
      <c r="E452" s="125"/>
      <c r="F452" s="125"/>
      <c r="G452" s="125"/>
      <c r="H452" s="125"/>
      <c r="I452" s="124" t="str">
        <f t="shared" si="4"/>
        <v/>
      </c>
      <c r="J452" s="119" t="s">
        <v>814</v>
      </c>
    </row>
    <row r="453">
      <c r="A453" s="125"/>
      <c r="B453" s="125"/>
      <c r="C453" s="125"/>
      <c r="D453" s="125"/>
      <c r="E453" s="125"/>
      <c r="F453" s="125"/>
      <c r="G453" s="125"/>
      <c r="H453" s="125"/>
      <c r="I453" s="124" t="str">
        <f t="shared" si="4"/>
        <v/>
      </c>
      <c r="J453" s="119" t="s">
        <v>814</v>
      </c>
    </row>
    <row r="454">
      <c r="A454" s="125"/>
      <c r="B454" s="125"/>
      <c r="C454" s="125"/>
      <c r="D454" s="125"/>
      <c r="E454" s="125"/>
      <c r="F454" s="125"/>
      <c r="G454" s="125"/>
      <c r="H454" s="125"/>
      <c r="I454" s="124" t="str">
        <f t="shared" si="4"/>
        <v/>
      </c>
      <c r="J454" s="119" t="s">
        <v>814</v>
      </c>
    </row>
    <row r="455">
      <c r="A455" s="125"/>
      <c r="B455" s="125"/>
      <c r="C455" s="125"/>
      <c r="D455" s="125"/>
      <c r="E455" s="125"/>
      <c r="F455" s="125"/>
      <c r="G455" s="125"/>
      <c r="H455" s="125"/>
      <c r="I455" s="124" t="str">
        <f t="shared" si="4"/>
        <v/>
      </c>
      <c r="J455" s="119" t="s">
        <v>814</v>
      </c>
    </row>
    <row r="456">
      <c r="A456" s="125"/>
      <c r="B456" s="125"/>
      <c r="C456" s="125"/>
      <c r="D456" s="125"/>
      <c r="E456" s="125"/>
      <c r="F456" s="125"/>
      <c r="G456" s="125"/>
      <c r="H456" s="125"/>
      <c r="I456" s="124" t="str">
        <f t="shared" si="4"/>
        <v/>
      </c>
      <c r="J456" s="119" t="s">
        <v>814</v>
      </c>
    </row>
    <row r="457">
      <c r="A457" s="125"/>
      <c r="B457" s="125"/>
      <c r="C457" s="125"/>
      <c r="D457" s="125"/>
      <c r="E457" s="125"/>
      <c r="F457" s="125"/>
      <c r="G457" s="125"/>
      <c r="H457" s="125"/>
      <c r="I457" s="124" t="str">
        <f t="shared" si="4"/>
        <v/>
      </c>
      <c r="J457" s="119" t="s">
        <v>814</v>
      </c>
    </row>
    <row r="458">
      <c r="A458" s="125"/>
      <c r="B458" s="125"/>
      <c r="C458" s="125"/>
      <c r="D458" s="125"/>
      <c r="E458" s="125"/>
      <c r="F458" s="125"/>
      <c r="G458" s="125"/>
      <c r="H458" s="125"/>
      <c r="I458" s="124" t="str">
        <f t="shared" si="4"/>
        <v/>
      </c>
      <c r="J458" s="119" t="s">
        <v>814</v>
      </c>
    </row>
    <row r="459">
      <c r="A459" s="125"/>
      <c r="B459" s="125"/>
      <c r="C459" s="125"/>
      <c r="D459" s="125"/>
      <c r="E459" s="125"/>
      <c r="F459" s="125"/>
      <c r="G459" s="125"/>
      <c r="H459" s="125"/>
      <c r="I459" s="124" t="str">
        <f t="shared" si="4"/>
        <v/>
      </c>
      <c r="J459" s="119" t="s">
        <v>814</v>
      </c>
    </row>
    <row r="460">
      <c r="A460" s="125"/>
      <c r="B460" s="125"/>
      <c r="C460" s="125"/>
      <c r="D460" s="125"/>
      <c r="E460" s="125"/>
      <c r="F460" s="125"/>
      <c r="G460" s="125"/>
      <c r="H460" s="125"/>
      <c r="I460" s="124" t="str">
        <f t="shared" si="4"/>
        <v/>
      </c>
      <c r="J460" s="119" t="s">
        <v>814</v>
      </c>
    </row>
    <row r="461">
      <c r="A461" s="125"/>
      <c r="B461" s="125"/>
      <c r="C461" s="125"/>
      <c r="D461" s="125"/>
      <c r="E461" s="125"/>
      <c r="F461" s="125"/>
      <c r="G461" s="125"/>
      <c r="H461" s="125"/>
      <c r="I461" s="124" t="str">
        <f t="shared" si="4"/>
        <v/>
      </c>
      <c r="J461" s="119" t="s">
        <v>814</v>
      </c>
    </row>
    <row r="462">
      <c r="A462" s="125"/>
      <c r="B462" s="125"/>
      <c r="C462" s="125"/>
      <c r="D462" s="125"/>
      <c r="E462" s="125"/>
      <c r="F462" s="125"/>
      <c r="G462" s="125"/>
      <c r="H462" s="125"/>
      <c r="I462" s="124" t="str">
        <f t="shared" si="4"/>
        <v/>
      </c>
      <c r="J462" s="119" t="s">
        <v>814</v>
      </c>
    </row>
    <row r="463">
      <c r="A463" s="125"/>
      <c r="B463" s="125"/>
      <c r="C463" s="125"/>
      <c r="D463" s="125"/>
      <c r="E463" s="125"/>
      <c r="F463" s="125"/>
      <c r="G463" s="125"/>
      <c r="H463" s="125"/>
      <c r="I463" s="124" t="str">
        <f t="shared" si="4"/>
        <v/>
      </c>
      <c r="J463" s="119" t="s">
        <v>814</v>
      </c>
    </row>
    <row r="464">
      <c r="A464" s="125"/>
      <c r="B464" s="125"/>
      <c r="C464" s="125"/>
      <c r="D464" s="125"/>
      <c r="E464" s="125"/>
      <c r="F464" s="125"/>
      <c r="G464" s="125"/>
      <c r="H464" s="125"/>
      <c r="I464" s="124" t="str">
        <f t="shared" si="4"/>
        <v/>
      </c>
      <c r="J464" s="119" t="s">
        <v>814</v>
      </c>
    </row>
    <row r="465">
      <c r="A465" s="125"/>
      <c r="B465" s="125"/>
      <c r="C465" s="125"/>
      <c r="D465" s="125"/>
      <c r="E465" s="125"/>
      <c r="F465" s="125"/>
      <c r="G465" s="125"/>
      <c r="H465" s="125"/>
      <c r="I465" s="124" t="str">
        <f t="shared" si="4"/>
        <v/>
      </c>
      <c r="J465" s="119" t="s">
        <v>814</v>
      </c>
    </row>
    <row r="466">
      <c r="A466" s="125"/>
      <c r="B466" s="125"/>
      <c r="C466" s="125"/>
      <c r="D466" s="125"/>
      <c r="E466" s="125"/>
      <c r="F466" s="125"/>
      <c r="G466" s="125"/>
      <c r="H466" s="125"/>
      <c r="I466" s="124" t="str">
        <f t="shared" si="4"/>
        <v/>
      </c>
      <c r="J466" s="119" t="s">
        <v>814</v>
      </c>
    </row>
    <row r="467">
      <c r="A467" s="125"/>
      <c r="B467" s="125"/>
      <c r="C467" s="125"/>
      <c r="D467" s="125"/>
      <c r="E467" s="125"/>
      <c r="F467" s="125"/>
      <c r="G467" s="125"/>
      <c r="H467" s="125"/>
      <c r="I467" s="124" t="str">
        <f t="shared" si="4"/>
        <v/>
      </c>
      <c r="J467" s="119" t="s">
        <v>814</v>
      </c>
    </row>
    <row r="468">
      <c r="A468" s="125"/>
      <c r="B468" s="125"/>
      <c r="C468" s="125"/>
      <c r="D468" s="125"/>
      <c r="E468" s="125"/>
      <c r="F468" s="125"/>
      <c r="G468" s="125"/>
      <c r="H468" s="125"/>
      <c r="I468" s="124" t="str">
        <f t="shared" si="4"/>
        <v/>
      </c>
      <c r="J468" s="119" t="s">
        <v>814</v>
      </c>
    </row>
    <row r="469">
      <c r="A469" s="125"/>
      <c r="B469" s="125"/>
      <c r="C469" s="125"/>
      <c r="D469" s="125"/>
      <c r="E469" s="125"/>
      <c r="F469" s="125"/>
      <c r="G469" s="125"/>
      <c r="H469" s="125"/>
      <c r="I469" s="124" t="str">
        <f t="shared" si="4"/>
        <v/>
      </c>
      <c r="J469" s="119" t="s">
        <v>814</v>
      </c>
    </row>
    <row r="470">
      <c r="A470" s="125"/>
      <c r="B470" s="125"/>
      <c r="C470" s="125"/>
      <c r="D470" s="125"/>
      <c r="E470" s="125"/>
      <c r="F470" s="125"/>
      <c r="G470" s="125"/>
      <c r="H470" s="125"/>
      <c r="I470" s="124" t="str">
        <f t="shared" si="4"/>
        <v/>
      </c>
      <c r="J470" s="119" t="s">
        <v>814</v>
      </c>
    </row>
    <row r="471">
      <c r="A471" s="125"/>
      <c r="B471" s="125"/>
      <c r="C471" s="125"/>
      <c r="D471" s="125"/>
      <c r="E471" s="125"/>
      <c r="F471" s="125"/>
      <c r="G471" s="125"/>
      <c r="H471" s="125"/>
      <c r="I471" s="124" t="str">
        <f t="shared" si="4"/>
        <v/>
      </c>
      <c r="J471" s="119" t="s">
        <v>814</v>
      </c>
    </row>
    <row r="472">
      <c r="A472" s="125"/>
      <c r="B472" s="125"/>
      <c r="C472" s="125"/>
      <c r="D472" s="125"/>
      <c r="E472" s="125"/>
      <c r="F472" s="125"/>
      <c r="G472" s="125"/>
      <c r="H472" s="125"/>
      <c r="I472" s="124" t="str">
        <f t="shared" si="4"/>
        <v/>
      </c>
      <c r="J472" s="119" t="s">
        <v>814</v>
      </c>
    </row>
    <row r="473">
      <c r="A473" s="125"/>
      <c r="B473" s="125"/>
      <c r="C473" s="125"/>
      <c r="D473" s="125"/>
      <c r="E473" s="125"/>
      <c r="F473" s="125"/>
      <c r="G473" s="125"/>
      <c r="H473" s="125"/>
      <c r="I473" s="124" t="str">
        <f t="shared" si="4"/>
        <v/>
      </c>
      <c r="J473" s="119" t="s">
        <v>814</v>
      </c>
    </row>
    <row r="474">
      <c r="A474" s="125"/>
      <c r="B474" s="125"/>
      <c r="C474" s="125"/>
      <c r="D474" s="125"/>
      <c r="E474" s="125"/>
      <c r="F474" s="125"/>
      <c r="G474" s="125"/>
      <c r="H474" s="125"/>
      <c r="I474" s="124" t="str">
        <f t="shared" si="4"/>
        <v/>
      </c>
      <c r="J474" s="119" t="s">
        <v>814</v>
      </c>
    </row>
    <row r="475">
      <c r="A475" s="125"/>
      <c r="B475" s="125"/>
      <c r="C475" s="125"/>
      <c r="D475" s="125"/>
      <c r="E475" s="125"/>
      <c r="F475" s="125"/>
      <c r="G475" s="125"/>
      <c r="H475" s="125"/>
      <c r="I475" s="124" t="str">
        <f t="shared" si="4"/>
        <v/>
      </c>
      <c r="J475" s="119" t="s">
        <v>814</v>
      </c>
    </row>
    <row r="476">
      <c r="A476" s="125"/>
      <c r="B476" s="125"/>
      <c r="C476" s="125"/>
      <c r="D476" s="125"/>
      <c r="E476" s="125"/>
      <c r="F476" s="125"/>
      <c r="G476" s="125"/>
      <c r="H476" s="125"/>
      <c r="I476" s="124" t="str">
        <f t="shared" si="4"/>
        <v/>
      </c>
      <c r="J476" s="119" t="s">
        <v>814</v>
      </c>
    </row>
    <row r="477">
      <c r="A477" s="125"/>
      <c r="B477" s="125"/>
      <c r="C477" s="125"/>
      <c r="D477" s="125"/>
      <c r="E477" s="125"/>
      <c r="F477" s="125"/>
      <c r="G477" s="125"/>
      <c r="H477" s="125"/>
      <c r="I477" s="124" t="str">
        <f t="shared" si="4"/>
        <v/>
      </c>
      <c r="J477" s="119" t="s">
        <v>814</v>
      </c>
    </row>
    <row r="478">
      <c r="A478" s="125"/>
      <c r="B478" s="125"/>
      <c r="C478" s="125"/>
      <c r="D478" s="125"/>
      <c r="E478" s="125"/>
      <c r="F478" s="125"/>
      <c r="G478" s="125"/>
      <c r="H478" s="125"/>
      <c r="I478" s="124" t="str">
        <f t="shared" si="4"/>
        <v/>
      </c>
      <c r="J478" s="119" t="s">
        <v>814</v>
      </c>
    </row>
    <row r="479">
      <c r="A479" s="125"/>
      <c r="B479" s="125"/>
      <c r="C479" s="125"/>
      <c r="D479" s="125"/>
      <c r="E479" s="125"/>
      <c r="F479" s="125"/>
      <c r="G479" s="125"/>
      <c r="H479" s="125"/>
      <c r="I479" s="124" t="str">
        <f t="shared" si="4"/>
        <v/>
      </c>
      <c r="J479" s="119" t="s">
        <v>814</v>
      </c>
    </row>
    <row r="480">
      <c r="A480" s="125"/>
      <c r="B480" s="125"/>
      <c r="C480" s="125"/>
      <c r="D480" s="125"/>
      <c r="E480" s="125"/>
      <c r="F480" s="125"/>
      <c r="G480" s="125"/>
      <c r="H480" s="125"/>
      <c r="I480" s="124" t="str">
        <f t="shared" si="4"/>
        <v/>
      </c>
      <c r="J480" s="119" t="s">
        <v>814</v>
      </c>
    </row>
    <row r="481">
      <c r="A481" s="125"/>
      <c r="B481" s="125"/>
      <c r="C481" s="125"/>
      <c r="D481" s="125"/>
      <c r="E481" s="125"/>
      <c r="F481" s="125"/>
      <c r="G481" s="125"/>
      <c r="H481" s="125"/>
      <c r="I481" s="124" t="str">
        <f t="shared" si="4"/>
        <v/>
      </c>
      <c r="J481" s="119" t="s">
        <v>814</v>
      </c>
    </row>
    <row r="482">
      <c r="A482" s="125"/>
      <c r="B482" s="125"/>
      <c r="C482" s="125"/>
      <c r="D482" s="125"/>
      <c r="E482" s="125"/>
      <c r="F482" s="125"/>
      <c r="G482" s="125"/>
      <c r="H482" s="125"/>
      <c r="I482" s="124" t="str">
        <f t="shared" si="4"/>
        <v/>
      </c>
      <c r="J482" s="119" t="s">
        <v>814</v>
      </c>
    </row>
    <row r="483">
      <c r="A483" s="125"/>
      <c r="B483" s="125"/>
      <c r="C483" s="125"/>
      <c r="D483" s="125"/>
      <c r="E483" s="125"/>
      <c r="F483" s="125"/>
      <c r="G483" s="125"/>
      <c r="H483" s="125"/>
      <c r="I483" s="124" t="str">
        <f t="shared" si="4"/>
        <v/>
      </c>
      <c r="J483" s="119" t="s">
        <v>814</v>
      </c>
    </row>
    <row r="484">
      <c r="A484" s="125"/>
      <c r="B484" s="125"/>
      <c r="C484" s="125"/>
      <c r="D484" s="125"/>
      <c r="E484" s="125"/>
      <c r="F484" s="125"/>
      <c r="G484" s="125"/>
      <c r="H484" s="125"/>
      <c r="I484" s="124" t="str">
        <f t="shared" si="4"/>
        <v/>
      </c>
      <c r="J484" s="119" t="s">
        <v>814</v>
      </c>
    </row>
    <row r="485">
      <c r="A485" s="125"/>
      <c r="B485" s="125"/>
      <c r="C485" s="125"/>
      <c r="D485" s="125"/>
      <c r="E485" s="125"/>
      <c r="F485" s="125"/>
      <c r="G485" s="125"/>
      <c r="H485" s="125"/>
      <c r="I485" s="124" t="str">
        <f t="shared" si="4"/>
        <v/>
      </c>
      <c r="J485" s="119" t="s">
        <v>814</v>
      </c>
    </row>
    <row r="486">
      <c r="A486" s="125"/>
      <c r="B486" s="125"/>
      <c r="C486" s="125"/>
      <c r="D486" s="125"/>
      <c r="E486" s="125"/>
      <c r="F486" s="125"/>
      <c r="G486" s="125"/>
      <c r="H486" s="125"/>
      <c r="I486" s="124" t="str">
        <f t="shared" si="4"/>
        <v/>
      </c>
      <c r="J486" s="119" t="s">
        <v>814</v>
      </c>
    </row>
    <row r="487">
      <c r="A487" s="125"/>
      <c r="B487" s="125"/>
      <c r="C487" s="125"/>
      <c r="D487" s="125"/>
      <c r="E487" s="125"/>
      <c r="F487" s="125"/>
      <c r="G487" s="125"/>
      <c r="H487" s="125"/>
      <c r="I487" s="124" t="str">
        <f t="shared" si="4"/>
        <v/>
      </c>
      <c r="J487" s="119" t="s">
        <v>814</v>
      </c>
    </row>
    <row r="488">
      <c r="A488" s="125"/>
      <c r="B488" s="125"/>
      <c r="C488" s="125"/>
      <c r="D488" s="125"/>
      <c r="E488" s="125"/>
      <c r="F488" s="125"/>
      <c r="G488" s="125"/>
      <c r="H488" s="125"/>
      <c r="I488" s="124" t="str">
        <f t="shared" si="4"/>
        <v/>
      </c>
      <c r="J488" s="119" t="s">
        <v>814</v>
      </c>
    </row>
    <row r="489">
      <c r="A489" s="125"/>
      <c r="B489" s="125"/>
      <c r="C489" s="125"/>
      <c r="D489" s="125"/>
      <c r="E489" s="125"/>
      <c r="F489" s="125"/>
      <c r="G489" s="125"/>
      <c r="H489" s="125"/>
      <c r="I489" s="124" t="str">
        <f t="shared" si="4"/>
        <v/>
      </c>
      <c r="J489" s="119" t="s">
        <v>814</v>
      </c>
    </row>
    <row r="490">
      <c r="A490" s="125"/>
      <c r="B490" s="125"/>
      <c r="C490" s="125"/>
      <c r="D490" s="125"/>
      <c r="E490" s="125"/>
      <c r="F490" s="125"/>
      <c r="G490" s="125"/>
      <c r="H490" s="125"/>
      <c r="I490" s="124" t="str">
        <f t="shared" si="4"/>
        <v/>
      </c>
      <c r="J490" s="119" t="s">
        <v>814</v>
      </c>
    </row>
    <row r="491">
      <c r="A491" s="125"/>
      <c r="B491" s="125"/>
      <c r="C491" s="125"/>
      <c r="D491" s="125"/>
      <c r="E491" s="125"/>
      <c r="F491" s="125"/>
      <c r="G491" s="125"/>
      <c r="H491" s="125"/>
      <c r="I491" s="124" t="str">
        <f t="shared" si="4"/>
        <v/>
      </c>
      <c r="J491" s="119" t="s">
        <v>814</v>
      </c>
    </row>
    <row r="492">
      <c r="A492" s="125"/>
      <c r="B492" s="125"/>
      <c r="C492" s="125"/>
      <c r="D492" s="125"/>
      <c r="E492" s="125"/>
      <c r="F492" s="125"/>
      <c r="G492" s="125"/>
      <c r="H492" s="125"/>
      <c r="I492" s="124" t="str">
        <f t="shared" si="4"/>
        <v/>
      </c>
      <c r="J492" s="119" t="s">
        <v>814</v>
      </c>
    </row>
    <row r="493">
      <c r="A493" s="125"/>
      <c r="B493" s="125"/>
      <c r="C493" s="125"/>
      <c r="D493" s="125"/>
      <c r="E493" s="125"/>
      <c r="F493" s="125"/>
      <c r="G493" s="125"/>
      <c r="H493" s="125"/>
      <c r="I493" s="124" t="str">
        <f t="shared" si="4"/>
        <v/>
      </c>
      <c r="J493" s="119" t="s">
        <v>814</v>
      </c>
    </row>
    <row r="494">
      <c r="A494" s="125"/>
      <c r="B494" s="125"/>
      <c r="C494" s="125"/>
      <c r="D494" s="125"/>
      <c r="E494" s="125"/>
      <c r="F494" s="125"/>
      <c r="G494" s="125"/>
      <c r="H494" s="125"/>
      <c r="I494" s="124" t="str">
        <f t="shared" si="4"/>
        <v/>
      </c>
      <c r="J494" s="119" t="s">
        <v>814</v>
      </c>
    </row>
    <row r="495">
      <c r="A495" s="125"/>
      <c r="B495" s="125"/>
      <c r="C495" s="125"/>
      <c r="D495" s="125"/>
      <c r="E495" s="125"/>
      <c r="F495" s="125"/>
      <c r="G495" s="125"/>
      <c r="H495" s="125"/>
      <c r="I495" s="124" t="str">
        <f t="shared" si="4"/>
        <v/>
      </c>
      <c r="J495" s="119" t="s">
        <v>814</v>
      </c>
    </row>
    <row r="496">
      <c r="A496" s="125"/>
      <c r="B496" s="125"/>
      <c r="C496" s="125"/>
      <c r="D496" s="125"/>
      <c r="E496" s="125"/>
      <c r="F496" s="125"/>
      <c r="G496" s="125"/>
      <c r="H496" s="125"/>
      <c r="I496" s="124" t="str">
        <f t="shared" si="4"/>
        <v/>
      </c>
      <c r="J496" s="119" t="s">
        <v>814</v>
      </c>
    </row>
    <row r="497">
      <c r="A497" s="125"/>
      <c r="B497" s="125"/>
      <c r="C497" s="125"/>
      <c r="D497" s="125"/>
      <c r="E497" s="125"/>
      <c r="F497" s="125"/>
      <c r="G497" s="125"/>
      <c r="H497" s="125"/>
      <c r="I497" s="124" t="str">
        <f t="shared" si="4"/>
        <v/>
      </c>
      <c r="J497" s="119" t="s">
        <v>814</v>
      </c>
    </row>
    <row r="498">
      <c r="A498" s="125"/>
      <c r="B498" s="125"/>
      <c r="C498" s="125"/>
      <c r="D498" s="125"/>
      <c r="E498" s="125"/>
      <c r="F498" s="125"/>
      <c r="G498" s="125"/>
      <c r="H498" s="125"/>
      <c r="I498" s="124" t="str">
        <f t="shared" si="4"/>
        <v/>
      </c>
      <c r="J498" s="119" t="s">
        <v>814</v>
      </c>
    </row>
    <row r="499">
      <c r="A499" s="125"/>
      <c r="B499" s="125"/>
      <c r="C499" s="125"/>
      <c r="D499" s="125"/>
      <c r="E499" s="125"/>
      <c r="F499" s="125"/>
      <c r="G499" s="125"/>
      <c r="H499" s="125"/>
      <c r="I499" s="124" t="str">
        <f t="shared" si="4"/>
        <v/>
      </c>
      <c r="J499" s="119" t="s">
        <v>814</v>
      </c>
    </row>
    <row r="500">
      <c r="A500" s="125"/>
      <c r="B500" s="125"/>
      <c r="C500" s="125"/>
      <c r="D500" s="125"/>
      <c r="E500" s="125"/>
      <c r="F500" s="125"/>
      <c r="G500" s="125"/>
      <c r="H500" s="125"/>
      <c r="I500" s="124" t="str">
        <f t="shared" si="4"/>
        <v/>
      </c>
      <c r="J500" s="119" t="s">
        <v>814</v>
      </c>
    </row>
    <row r="501">
      <c r="A501" s="125"/>
      <c r="B501" s="125"/>
      <c r="C501" s="125"/>
      <c r="D501" s="125"/>
      <c r="E501" s="125"/>
      <c r="F501" s="125"/>
      <c r="G501" s="125"/>
      <c r="H501" s="125"/>
      <c r="I501" s="124" t="str">
        <f t="shared" si="4"/>
        <v/>
      </c>
      <c r="J501" s="119" t="s">
        <v>814</v>
      </c>
    </row>
    <row r="502">
      <c r="A502" s="125"/>
      <c r="B502" s="125"/>
      <c r="C502" s="125"/>
      <c r="D502" s="125"/>
      <c r="E502" s="125"/>
      <c r="F502" s="125"/>
      <c r="G502" s="125"/>
      <c r="H502" s="125"/>
      <c r="I502" s="124" t="str">
        <f t="shared" si="4"/>
        <v/>
      </c>
      <c r="J502" s="119" t="s">
        <v>814</v>
      </c>
    </row>
    <row r="503">
      <c r="A503" s="125"/>
      <c r="B503" s="125"/>
      <c r="C503" s="125"/>
      <c r="D503" s="125"/>
      <c r="E503" s="125"/>
      <c r="F503" s="125"/>
      <c r="G503" s="125"/>
      <c r="H503" s="125"/>
      <c r="I503" s="124" t="str">
        <f t="shared" si="4"/>
        <v/>
      </c>
      <c r="J503" s="119" t="s">
        <v>814</v>
      </c>
    </row>
    <row r="504">
      <c r="A504" s="125"/>
      <c r="B504" s="125"/>
      <c r="C504" s="125"/>
      <c r="D504" s="125"/>
      <c r="E504" s="125"/>
      <c r="F504" s="125"/>
      <c r="G504" s="125"/>
      <c r="H504" s="125"/>
      <c r="I504" s="124" t="str">
        <f t="shared" si="4"/>
        <v/>
      </c>
      <c r="J504" s="119" t="s">
        <v>814</v>
      </c>
    </row>
    <row r="505">
      <c r="A505" s="125"/>
      <c r="B505" s="125"/>
      <c r="C505" s="125"/>
      <c r="D505" s="125"/>
      <c r="E505" s="125"/>
      <c r="F505" s="125"/>
      <c r="G505" s="125"/>
      <c r="H505" s="125"/>
      <c r="I505" s="124" t="str">
        <f t="shared" si="4"/>
        <v/>
      </c>
      <c r="J505" s="119" t="s">
        <v>814</v>
      </c>
    </row>
    <row r="506">
      <c r="A506" s="125"/>
      <c r="B506" s="125"/>
      <c r="C506" s="125"/>
      <c r="D506" s="125"/>
      <c r="E506" s="125"/>
      <c r="F506" s="125"/>
      <c r="G506" s="125"/>
      <c r="H506" s="125"/>
      <c r="I506" s="124" t="str">
        <f t="shared" si="4"/>
        <v/>
      </c>
      <c r="J506" s="119" t="s">
        <v>814</v>
      </c>
    </row>
    <row r="507">
      <c r="A507" s="125"/>
      <c r="B507" s="125"/>
      <c r="C507" s="125"/>
      <c r="D507" s="125"/>
      <c r="E507" s="125"/>
      <c r="F507" s="125"/>
      <c r="G507" s="125"/>
      <c r="H507" s="125"/>
      <c r="I507" s="124" t="str">
        <f t="shared" si="4"/>
        <v/>
      </c>
      <c r="J507" s="119" t="s">
        <v>814</v>
      </c>
    </row>
    <row r="508">
      <c r="A508" s="125"/>
      <c r="B508" s="125"/>
      <c r="C508" s="125"/>
      <c r="D508" s="125"/>
      <c r="E508" s="125"/>
      <c r="F508" s="125"/>
      <c r="G508" s="125"/>
      <c r="H508" s="125"/>
      <c r="I508" s="124" t="str">
        <f t="shared" si="4"/>
        <v/>
      </c>
      <c r="J508" s="119" t="s">
        <v>814</v>
      </c>
    </row>
    <row r="509">
      <c r="A509" s="125"/>
      <c r="B509" s="125"/>
      <c r="C509" s="125"/>
      <c r="D509" s="125"/>
      <c r="E509" s="125"/>
      <c r="F509" s="125"/>
      <c r="G509" s="125"/>
      <c r="H509" s="125"/>
      <c r="I509" s="124" t="str">
        <f t="shared" si="4"/>
        <v/>
      </c>
      <c r="J509" s="119" t="s">
        <v>814</v>
      </c>
    </row>
    <row r="510">
      <c r="A510" s="125"/>
      <c r="B510" s="125"/>
      <c r="C510" s="125"/>
      <c r="D510" s="125"/>
      <c r="E510" s="125"/>
      <c r="F510" s="125"/>
      <c r="G510" s="125"/>
      <c r="H510" s="125"/>
      <c r="I510" s="124" t="str">
        <f t="shared" si="4"/>
        <v/>
      </c>
      <c r="J510" s="119" t="s">
        <v>814</v>
      </c>
    </row>
    <row r="511">
      <c r="A511" s="125"/>
      <c r="B511" s="125"/>
      <c r="C511" s="125"/>
      <c r="D511" s="125"/>
      <c r="E511" s="125"/>
      <c r="F511" s="125"/>
      <c r="G511" s="125"/>
      <c r="H511" s="125"/>
      <c r="I511" s="124" t="str">
        <f t="shared" si="4"/>
        <v/>
      </c>
      <c r="J511" s="119" t="s">
        <v>814</v>
      </c>
    </row>
    <row r="512">
      <c r="A512" s="125"/>
      <c r="B512" s="125"/>
      <c r="C512" s="125"/>
      <c r="D512" s="125"/>
      <c r="E512" s="125"/>
      <c r="F512" s="125"/>
      <c r="G512" s="125"/>
      <c r="H512" s="125"/>
      <c r="I512" s="124" t="str">
        <f t="shared" si="4"/>
        <v/>
      </c>
      <c r="J512" s="119" t="s">
        <v>814</v>
      </c>
    </row>
    <row r="513">
      <c r="A513" s="125"/>
      <c r="B513" s="125"/>
      <c r="C513" s="125"/>
      <c r="D513" s="125"/>
      <c r="E513" s="125"/>
      <c r="F513" s="125"/>
      <c r="G513" s="125"/>
      <c r="H513" s="125"/>
      <c r="I513" s="124" t="str">
        <f t="shared" si="4"/>
        <v/>
      </c>
      <c r="J513" s="119" t="s">
        <v>814</v>
      </c>
    </row>
    <row r="514">
      <c r="A514" s="125"/>
      <c r="B514" s="125"/>
      <c r="C514" s="125"/>
      <c r="D514" s="125"/>
      <c r="E514" s="125"/>
      <c r="F514" s="125"/>
      <c r="G514" s="125"/>
      <c r="H514" s="125"/>
      <c r="I514" s="124" t="str">
        <f t="shared" si="4"/>
        <v/>
      </c>
      <c r="J514" s="119" t="s">
        <v>814</v>
      </c>
    </row>
    <row r="515">
      <c r="A515" s="125"/>
      <c r="B515" s="125"/>
      <c r="C515" s="125"/>
      <c r="D515" s="125"/>
      <c r="E515" s="125"/>
      <c r="F515" s="125"/>
      <c r="G515" s="125"/>
      <c r="H515" s="125"/>
      <c r="I515" s="124" t="str">
        <f t="shared" si="4"/>
        <v/>
      </c>
      <c r="J515" s="119" t="s">
        <v>814</v>
      </c>
    </row>
    <row r="516">
      <c r="A516" s="125"/>
      <c r="B516" s="125"/>
      <c r="C516" s="125"/>
      <c r="D516" s="125"/>
      <c r="E516" s="125"/>
      <c r="F516" s="125"/>
      <c r="G516" s="125"/>
      <c r="H516" s="125"/>
      <c r="I516" s="124" t="str">
        <f t="shared" si="4"/>
        <v/>
      </c>
      <c r="J516" s="119" t="s">
        <v>814</v>
      </c>
    </row>
    <row r="517">
      <c r="A517" s="125"/>
      <c r="B517" s="125"/>
      <c r="C517" s="125"/>
      <c r="D517" s="125"/>
      <c r="E517" s="125"/>
      <c r="F517" s="125"/>
      <c r="G517" s="125"/>
      <c r="H517" s="125"/>
      <c r="I517" s="124" t="str">
        <f t="shared" si="4"/>
        <v/>
      </c>
      <c r="J517" s="119" t="s">
        <v>814</v>
      </c>
    </row>
    <row r="518">
      <c r="A518" s="125"/>
      <c r="B518" s="125"/>
      <c r="C518" s="125"/>
      <c r="D518" s="125"/>
      <c r="E518" s="125"/>
      <c r="F518" s="125"/>
      <c r="G518" s="125"/>
      <c r="H518" s="125"/>
      <c r="I518" s="124" t="str">
        <f t="shared" si="4"/>
        <v/>
      </c>
      <c r="J518" s="119" t="s">
        <v>814</v>
      </c>
    </row>
    <row r="519">
      <c r="A519" s="125"/>
      <c r="B519" s="125"/>
      <c r="C519" s="125"/>
      <c r="D519" s="125"/>
      <c r="E519" s="125"/>
      <c r="F519" s="125"/>
      <c r="G519" s="125"/>
      <c r="H519" s="125"/>
      <c r="I519" s="124" t="str">
        <f t="shared" si="4"/>
        <v/>
      </c>
      <c r="J519" s="119" t="s">
        <v>814</v>
      </c>
    </row>
    <row r="520">
      <c r="A520" s="125"/>
      <c r="B520" s="125"/>
      <c r="C520" s="125"/>
      <c r="D520" s="125"/>
      <c r="E520" s="125"/>
      <c r="F520" s="125"/>
      <c r="G520" s="125"/>
      <c r="H520" s="125"/>
      <c r="I520" s="124" t="str">
        <f t="shared" si="4"/>
        <v/>
      </c>
      <c r="J520" s="119" t="s">
        <v>814</v>
      </c>
    </row>
    <row r="521">
      <c r="A521" s="125"/>
      <c r="B521" s="125"/>
      <c r="C521" s="125"/>
      <c r="D521" s="125"/>
      <c r="E521" s="125"/>
      <c r="F521" s="125"/>
      <c r="G521" s="125"/>
      <c r="H521" s="125"/>
      <c r="I521" s="124" t="str">
        <f t="shared" si="4"/>
        <v/>
      </c>
      <c r="J521" s="119" t="s">
        <v>814</v>
      </c>
    </row>
    <row r="522">
      <c r="A522" s="125"/>
      <c r="B522" s="125"/>
      <c r="C522" s="125"/>
      <c r="D522" s="125"/>
      <c r="E522" s="125"/>
      <c r="F522" s="125"/>
      <c r="G522" s="125"/>
      <c r="H522" s="125"/>
      <c r="I522" s="124" t="str">
        <f t="shared" si="4"/>
        <v/>
      </c>
      <c r="J522" s="119" t="s">
        <v>814</v>
      </c>
    </row>
    <row r="523">
      <c r="A523" s="125"/>
      <c r="B523" s="125"/>
      <c r="C523" s="125"/>
      <c r="D523" s="125"/>
      <c r="E523" s="125"/>
      <c r="F523" s="125"/>
      <c r="G523" s="125"/>
      <c r="H523" s="125"/>
      <c r="I523" s="124" t="str">
        <f t="shared" si="4"/>
        <v/>
      </c>
      <c r="J523" s="119" t="s">
        <v>814</v>
      </c>
    </row>
    <row r="524">
      <c r="A524" s="125"/>
      <c r="B524" s="125"/>
      <c r="C524" s="125"/>
      <c r="D524" s="125"/>
      <c r="E524" s="125"/>
      <c r="F524" s="125"/>
      <c r="G524" s="125"/>
      <c r="H524" s="125"/>
      <c r="I524" s="124" t="str">
        <f t="shared" si="4"/>
        <v/>
      </c>
      <c r="J524" s="119" t="s">
        <v>814</v>
      </c>
    </row>
    <row r="525">
      <c r="A525" s="125"/>
      <c r="B525" s="125"/>
      <c r="C525" s="125"/>
      <c r="D525" s="125"/>
      <c r="E525" s="125"/>
      <c r="F525" s="125"/>
      <c r="G525" s="125"/>
      <c r="H525" s="125"/>
      <c r="I525" s="124" t="str">
        <f t="shared" si="4"/>
        <v/>
      </c>
      <c r="J525" s="119" t="s">
        <v>814</v>
      </c>
    </row>
    <row r="526">
      <c r="A526" s="125"/>
      <c r="B526" s="125"/>
      <c r="C526" s="125"/>
      <c r="D526" s="125"/>
      <c r="E526" s="125"/>
      <c r="F526" s="125"/>
      <c r="G526" s="125"/>
      <c r="H526" s="125"/>
      <c r="I526" s="124" t="str">
        <f t="shared" si="4"/>
        <v/>
      </c>
      <c r="J526" s="119" t="s">
        <v>814</v>
      </c>
    </row>
    <row r="527">
      <c r="A527" s="125"/>
      <c r="B527" s="125"/>
      <c r="C527" s="125"/>
      <c r="D527" s="125"/>
      <c r="E527" s="125"/>
      <c r="F527" s="125"/>
      <c r="G527" s="125"/>
      <c r="H527" s="125"/>
      <c r="I527" s="124" t="str">
        <f t="shared" si="4"/>
        <v/>
      </c>
      <c r="J527" s="119" t="s">
        <v>814</v>
      </c>
    </row>
    <row r="528">
      <c r="A528" s="125"/>
      <c r="B528" s="125"/>
      <c r="C528" s="125"/>
      <c r="D528" s="125"/>
      <c r="E528" s="125"/>
      <c r="F528" s="125"/>
      <c r="G528" s="125"/>
      <c r="H528" s="125"/>
      <c r="I528" s="124" t="str">
        <f t="shared" si="4"/>
        <v/>
      </c>
      <c r="J528" s="119" t="s">
        <v>814</v>
      </c>
    </row>
    <row r="529">
      <c r="A529" s="125"/>
      <c r="B529" s="125"/>
      <c r="C529" s="125"/>
      <c r="D529" s="125"/>
      <c r="E529" s="125"/>
      <c r="F529" s="125"/>
      <c r="G529" s="125"/>
      <c r="H529" s="125"/>
      <c r="I529" s="124" t="str">
        <f t="shared" si="4"/>
        <v/>
      </c>
      <c r="J529" s="119" t="s">
        <v>814</v>
      </c>
    </row>
    <row r="530">
      <c r="A530" s="125"/>
      <c r="B530" s="125"/>
      <c r="C530" s="125"/>
      <c r="D530" s="125"/>
      <c r="E530" s="125"/>
      <c r="F530" s="125"/>
      <c r="G530" s="125"/>
      <c r="H530" s="125"/>
      <c r="I530" s="124" t="str">
        <f t="shared" si="4"/>
        <v/>
      </c>
      <c r="J530" s="119" t="s">
        <v>814</v>
      </c>
    </row>
    <row r="531">
      <c r="A531" s="125"/>
      <c r="B531" s="125"/>
      <c r="C531" s="125"/>
      <c r="D531" s="125"/>
      <c r="E531" s="125"/>
      <c r="F531" s="125"/>
      <c r="G531" s="125"/>
      <c r="H531" s="125"/>
      <c r="I531" s="124" t="str">
        <f t="shared" si="4"/>
        <v/>
      </c>
      <c r="J531" s="119" t="s">
        <v>814</v>
      </c>
    </row>
    <row r="532">
      <c r="A532" s="125"/>
      <c r="B532" s="125"/>
      <c r="C532" s="125"/>
      <c r="D532" s="125"/>
      <c r="E532" s="125"/>
      <c r="F532" s="125"/>
      <c r="G532" s="125"/>
      <c r="H532" s="125"/>
      <c r="I532" s="124" t="str">
        <f t="shared" si="4"/>
        <v/>
      </c>
      <c r="J532" s="119" t="s">
        <v>814</v>
      </c>
    </row>
    <row r="533">
      <c r="A533" s="125"/>
      <c r="B533" s="125"/>
      <c r="C533" s="125"/>
      <c r="D533" s="125"/>
      <c r="E533" s="125"/>
      <c r="F533" s="125"/>
      <c r="G533" s="125"/>
      <c r="H533" s="125"/>
      <c r="I533" s="124" t="str">
        <f t="shared" si="4"/>
        <v/>
      </c>
      <c r="J533" s="119" t="s">
        <v>814</v>
      </c>
    </row>
    <row r="534">
      <c r="A534" s="125"/>
      <c r="B534" s="125"/>
      <c r="C534" s="125"/>
      <c r="D534" s="125"/>
      <c r="E534" s="125"/>
      <c r="F534" s="125"/>
      <c r="G534" s="125"/>
      <c r="H534" s="125"/>
      <c r="I534" s="124" t="str">
        <f t="shared" si="4"/>
        <v/>
      </c>
      <c r="J534" s="119" t="s">
        <v>814</v>
      </c>
    </row>
    <row r="535">
      <c r="A535" s="125"/>
      <c r="B535" s="125"/>
      <c r="C535" s="125"/>
      <c r="D535" s="125"/>
      <c r="E535" s="125"/>
      <c r="F535" s="125"/>
      <c r="G535" s="125"/>
      <c r="H535" s="125"/>
      <c r="I535" s="124" t="str">
        <f t="shared" si="4"/>
        <v/>
      </c>
      <c r="J535" s="119" t="s">
        <v>814</v>
      </c>
    </row>
    <row r="536">
      <c r="A536" s="125"/>
      <c r="B536" s="125"/>
      <c r="C536" s="125"/>
      <c r="D536" s="125"/>
      <c r="E536" s="125"/>
      <c r="F536" s="125"/>
      <c r="G536" s="125"/>
      <c r="H536" s="125"/>
      <c r="I536" s="124" t="str">
        <f t="shared" si="4"/>
        <v/>
      </c>
      <c r="J536" s="119" t="s">
        <v>814</v>
      </c>
    </row>
    <row r="537">
      <c r="A537" s="125"/>
      <c r="B537" s="125"/>
      <c r="C537" s="125"/>
      <c r="D537" s="125"/>
      <c r="E537" s="125"/>
      <c r="F537" s="125"/>
      <c r="G537" s="125"/>
      <c r="H537" s="125"/>
      <c r="I537" s="124" t="str">
        <f t="shared" si="4"/>
        <v/>
      </c>
      <c r="J537" s="119" t="s">
        <v>814</v>
      </c>
    </row>
    <row r="538">
      <c r="A538" s="125"/>
      <c r="B538" s="125"/>
      <c r="C538" s="125"/>
      <c r="D538" s="125"/>
      <c r="E538" s="125"/>
      <c r="F538" s="125"/>
      <c r="G538" s="125"/>
      <c r="H538" s="125"/>
      <c r="I538" s="124" t="str">
        <f t="shared" si="4"/>
        <v/>
      </c>
      <c r="J538" s="119" t="s">
        <v>814</v>
      </c>
    </row>
    <row r="539">
      <c r="A539" s="125"/>
      <c r="B539" s="125"/>
      <c r="C539" s="125"/>
      <c r="D539" s="125"/>
      <c r="E539" s="125"/>
      <c r="F539" s="125"/>
      <c r="G539" s="125"/>
      <c r="H539" s="125"/>
      <c r="I539" s="124" t="str">
        <f t="shared" si="4"/>
        <v/>
      </c>
      <c r="J539" s="119" t="s">
        <v>814</v>
      </c>
    </row>
    <row r="540">
      <c r="A540" s="125"/>
      <c r="B540" s="125"/>
      <c r="C540" s="125"/>
      <c r="D540" s="125"/>
      <c r="E540" s="125"/>
      <c r="F540" s="125"/>
      <c r="G540" s="125"/>
      <c r="H540" s="125"/>
      <c r="I540" s="124" t="str">
        <f t="shared" si="4"/>
        <v/>
      </c>
      <c r="J540" s="119" t="s">
        <v>814</v>
      </c>
    </row>
    <row r="541">
      <c r="A541" s="125"/>
      <c r="B541" s="125"/>
      <c r="C541" s="125"/>
      <c r="D541" s="125"/>
      <c r="E541" s="125"/>
      <c r="F541" s="125"/>
      <c r="G541" s="125"/>
      <c r="H541" s="125"/>
      <c r="I541" s="124" t="str">
        <f t="shared" si="4"/>
        <v/>
      </c>
      <c r="J541" s="119" t="s">
        <v>814</v>
      </c>
    </row>
    <row r="542">
      <c r="A542" s="125"/>
      <c r="B542" s="125"/>
      <c r="C542" s="125"/>
      <c r="D542" s="125"/>
      <c r="E542" s="125"/>
      <c r="F542" s="125"/>
      <c r="G542" s="125"/>
      <c r="H542" s="125"/>
      <c r="I542" s="124" t="str">
        <f t="shared" si="4"/>
        <v/>
      </c>
      <c r="J542" s="119" t="s">
        <v>814</v>
      </c>
    </row>
    <row r="543">
      <c r="A543" s="125"/>
      <c r="B543" s="125"/>
      <c r="C543" s="125"/>
      <c r="D543" s="125"/>
      <c r="E543" s="125"/>
      <c r="F543" s="125"/>
      <c r="G543" s="125"/>
      <c r="H543" s="125"/>
      <c r="I543" s="124" t="str">
        <f t="shared" si="4"/>
        <v/>
      </c>
      <c r="J543" s="119" t="s">
        <v>814</v>
      </c>
    </row>
    <row r="544">
      <c r="A544" s="125"/>
      <c r="B544" s="125"/>
      <c r="C544" s="125"/>
      <c r="D544" s="125"/>
      <c r="E544" s="125"/>
      <c r="F544" s="125"/>
      <c r="G544" s="125"/>
      <c r="H544" s="125"/>
      <c r="I544" s="124" t="str">
        <f t="shared" si="4"/>
        <v/>
      </c>
      <c r="J544" s="119" t="s">
        <v>814</v>
      </c>
    </row>
    <row r="545">
      <c r="A545" s="125"/>
      <c r="B545" s="125"/>
      <c r="C545" s="125"/>
      <c r="D545" s="125"/>
      <c r="E545" s="125"/>
      <c r="F545" s="125"/>
      <c r="G545" s="125"/>
      <c r="H545" s="125"/>
      <c r="I545" s="124" t="str">
        <f t="shared" si="4"/>
        <v/>
      </c>
      <c r="J545" s="119" t="s">
        <v>814</v>
      </c>
    </row>
    <row r="546">
      <c r="A546" s="125"/>
      <c r="B546" s="125"/>
      <c r="C546" s="125"/>
      <c r="D546" s="125"/>
      <c r="E546" s="125"/>
      <c r="F546" s="125"/>
      <c r="G546" s="125"/>
      <c r="H546" s="125"/>
      <c r="I546" s="124" t="str">
        <f t="shared" si="4"/>
        <v/>
      </c>
      <c r="J546" s="119" t="s">
        <v>814</v>
      </c>
    </row>
    <row r="547">
      <c r="A547" s="125"/>
      <c r="B547" s="125"/>
      <c r="C547" s="125"/>
      <c r="D547" s="125"/>
      <c r="E547" s="125"/>
      <c r="F547" s="125"/>
      <c r="G547" s="125"/>
      <c r="H547" s="125"/>
      <c r="I547" s="124" t="str">
        <f t="shared" si="4"/>
        <v/>
      </c>
      <c r="J547" s="119" t="s">
        <v>814</v>
      </c>
    </row>
    <row r="548">
      <c r="A548" s="125"/>
      <c r="B548" s="125"/>
      <c r="C548" s="125"/>
      <c r="D548" s="125"/>
      <c r="E548" s="125"/>
      <c r="F548" s="125"/>
      <c r="G548" s="125"/>
      <c r="H548" s="125"/>
      <c r="I548" s="124" t="str">
        <f t="shared" si="4"/>
        <v/>
      </c>
      <c r="J548" s="119" t="s">
        <v>814</v>
      </c>
    </row>
    <row r="549">
      <c r="A549" s="125"/>
      <c r="B549" s="125"/>
      <c r="C549" s="125"/>
      <c r="D549" s="125"/>
      <c r="E549" s="125"/>
      <c r="F549" s="125"/>
      <c r="G549" s="125"/>
      <c r="H549" s="125"/>
      <c r="I549" s="124" t="str">
        <f t="shared" si="4"/>
        <v/>
      </c>
      <c r="J549" s="119" t="s">
        <v>814</v>
      </c>
    </row>
    <row r="550">
      <c r="A550" s="125"/>
      <c r="B550" s="125"/>
      <c r="C550" s="125"/>
      <c r="D550" s="125"/>
      <c r="E550" s="125"/>
      <c r="F550" s="125"/>
      <c r="G550" s="125"/>
      <c r="H550" s="125"/>
      <c r="I550" s="124" t="str">
        <f t="shared" si="4"/>
        <v/>
      </c>
      <c r="J550" s="119" t="s">
        <v>814</v>
      </c>
    </row>
    <row r="551">
      <c r="A551" s="125"/>
      <c r="B551" s="125"/>
      <c r="C551" s="125"/>
      <c r="D551" s="125"/>
      <c r="E551" s="125"/>
      <c r="F551" s="125"/>
      <c r="G551" s="125"/>
      <c r="H551" s="125"/>
      <c r="I551" s="124" t="str">
        <f t="shared" si="4"/>
        <v/>
      </c>
      <c r="J551" s="119" t="s">
        <v>814</v>
      </c>
    </row>
    <row r="552">
      <c r="A552" s="125"/>
      <c r="B552" s="125"/>
      <c r="C552" s="125"/>
      <c r="D552" s="125"/>
      <c r="E552" s="125"/>
      <c r="F552" s="125"/>
      <c r="G552" s="125"/>
      <c r="H552" s="125"/>
      <c r="I552" s="124" t="str">
        <f t="shared" si="4"/>
        <v/>
      </c>
      <c r="J552" s="119" t="s">
        <v>814</v>
      </c>
    </row>
    <row r="553">
      <c r="A553" s="125"/>
      <c r="B553" s="125"/>
      <c r="C553" s="125"/>
      <c r="D553" s="125"/>
      <c r="E553" s="125"/>
      <c r="F553" s="125"/>
      <c r="G553" s="125"/>
      <c r="H553" s="125"/>
      <c r="I553" s="124" t="str">
        <f t="shared" si="4"/>
        <v/>
      </c>
      <c r="J553" s="119" t="s">
        <v>814</v>
      </c>
    </row>
    <row r="554">
      <c r="A554" s="125"/>
      <c r="B554" s="125"/>
      <c r="C554" s="125"/>
      <c r="D554" s="125"/>
      <c r="E554" s="125"/>
      <c r="F554" s="125"/>
      <c r="G554" s="125"/>
      <c r="H554" s="125"/>
      <c r="I554" s="124" t="str">
        <f t="shared" si="4"/>
        <v/>
      </c>
      <c r="J554" s="119" t="s">
        <v>814</v>
      </c>
    </row>
    <row r="555">
      <c r="A555" s="125"/>
      <c r="B555" s="125"/>
      <c r="C555" s="125"/>
      <c r="D555" s="125"/>
      <c r="E555" s="125"/>
      <c r="F555" s="125"/>
      <c r="G555" s="125"/>
      <c r="H555" s="125"/>
      <c r="I555" s="124" t="str">
        <f t="shared" si="4"/>
        <v/>
      </c>
      <c r="J555" s="119" t="s">
        <v>814</v>
      </c>
    </row>
    <row r="556">
      <c r="A556" s="125"/>
      <c r="B556" s="125"/>
      <c r="C556" s="125"/>
      <c r="D556" s="125"/>
      <c r="E556" s="125"/>
      <c r="F556" s="125"/>
      <c r="G556" s="125"/>
      <c r="H556" s="125"/>
      <c r="I556" s="124" t="str">
        <f t="shared" si="4"/>
        <v/>
      </c>
      <c r="J556" s="119" t="s">
        <v>814</v>
      </c>
    </row>
    <row r="557">
      <c r="A557" s="125"/>
      <c r="B557" s="125"/>
      <c r="C557" s="125"/>
      <c r="D557" s="125"/>
      <c r="E557" s="125"/>
      <c r="F557" s="125"/>
      <c r="G557" s="125"/>
      <c r="H557" s="125"/>
      <c r="I557" s="124" t="str">
        <f t="shared" si="4"/>
        <v/>
      </c>
      <c r="J557" s="119" t="s">
        <v>814</v>
      </c>
    </row>
    <row r="558">
      <c r="A558" s="125"/>
      <c r="B558" s="125"/>
      <c r="C558" s="125"/>
      <c r="D558" s="125"/>
      <c r="E558" s="125"/>
      <c r="F558" s="125"/>
      <c r="G558" s="125"/>
      <c r="H558" s="125"/>
      <c r="I558" s="124" t="str">
        <f t="shared" si="4"/>
        <v/>
      </c>
      <c r="J558" s="119" t="s">
        <v>814</v>
      </c>
    </row>
    <row r="559">
      <c r="A559" s="125"/>
      <c r="B559" s="125"/>
      <c r="C559" s="125"/>
      <c r="D559" s="125"/>
      <c r="E559" s="125"/>
      <c r="F559" s="125"/>
      <c r="G559" s="125"/>
      <c r="H559" s="125"/>
      <c r="I559" s="124" t="str">
        <f t="shared" si="4"/>
        <v/>
      </c>
      <c r="J559" s="119" t="s">
        <v>814</v>
      </c>
    </row>
    <row r="560">
      <c r="A560" s="125"/>
      <c r="B560" s="125"/>
      <c r="C560" s="125"/>
      <c r="D560" s="125"/>
      <c r="E560" s="125"/>
      <c r="F560" s="125"/>
      <c r="G560" s="125"/>
      <c r="H560" s="125"/>
      <c r="I560" s="124" t="str">
        <f t="shared" si="4"/>
        <v/>
      </c>
      <c r="J560" s="119" t="s">
        <v>814</v>
      </c>
    </row>
    <row r="561">
      <c r="A561" s="125"/>
      <c r="B561" s="125"/>
      <c r="C561" s="125"/>
      <c r="D561" s="125"/>
      <c r="E561" s="125"/>
      <c r="F561" s="125"/>
      <c r="G561" s="125"/>
      <c r="H561" s="125"/>
      <c r="I561" s="124" t="str">
        <f t="shared" si="4"/>
        <v/>
      </c>
      <c r="J561" s="119" t="s">
        <v>814</v>
      </c>
    </row>
    <row r="562">
      <c r="A562" s="125"/>
      <c r="B562" s="125"/>
      <c r="C562" s="125"/>
      <c r="D562" s="125"/>
      <c r="E562" s="125"/>
      <c r="F562" s="125"/>
      <c r="G562" s="125"/>
      <c r="H562" s="125"/>
      <c r="I562" s="124" t="str">
        <f t="shared" si="4"/>
        <v/>
      </c>
      <c r="J562" s="119" t="s">
        <v>814</v>
      </c>
    </row>
    <row r="563">
      <c r="A563" s="125"/>
      <c r="B563" s="125"/>
      <c r="C563" s="125"/>
      <c r="D563" s="125"/>
      <c r="E563" s="125"/>
      <c r="F563" s="125"/>
      <c r="G563" s="125"/>
      <c r="H563" s="125"/>
      <c r="I563" s="124" t="str">
        <f t="shared" si="4"/>
        <v/>
      </c>
      <c r="J563" s="119" t="s">
        <v>814</v>
      </c>
    </row>
    <row r="564">
      <c r="A564" s="125"/>
      <c r="B564" s="125"/>
      <c r="C564" s="125"/>
      <c r="D564" s="125"/>
      <c r="E564" s="125"/>
      <c r="F564" s="125"/>
      <c r="G564" s="125"/>
      <c r="H564" s="125"/>
      <c r="I564" s="124" t="str">
        <f t="shared" si="4"/>
        <v/>
      </c>
      <c r="J564" s="119" t="s">
        <v>814</v>
      </c>
    </row>
    <row r="565">
      <c r="A565" s="125"/>
      <c r="B565" s="125"/>
      <c r="C565" s="125"/>
      <c r="D565" s="125"/>
      <c r="E565" s="125"/>
      <c r="F565" s="125"/>
      <c r="G565" s="125"/>
      <c r="H565" s="125"/>
      <c r="I565" s="124" t="str">
        <f t="shared" si="4"/>
        <v/>
      </c>
      <c r="J565" s="119" t="s">
        <v>814</v>
      </c>
    </row>
    <row r="566">
      <c r="A566" s="125"/>
      <c r="B566" s="125"/>
      <c r="C566" s="125"/>
      <c r="D566" s="125"/>
      <c r="E566" s="125"/>
      <c r="F566" s="125"/>
      <c r="G566" s="125"/>
      <c r="H566" s="125"/>
      <c r="I566" s="124" t="str">
        <f t="shared" si="4"/>
        <v/>
      </c>
      <c r="J566" s="119" t="s">
        <v>814</v>
      </c>
    </row>
    <row r="567">
      <c r="A567" s="125"/>
      <c r="B567" s="125"/>
      <c r="C567" s="125"/>
      <c r="D567" s="125"/>
      <c r="E567" s="125"/>
      <c r="F567" s="125"/>
      <c r="G567" s="125"/>
      <c r="H567" s="125"/>
      <c r="I567" s="124" t="str">
        <f t="shared" si="4"/>
        <v/>
      </c>
      <c r="J567" s="119" t="s">
        <v>814</v>
      </c>
    </row>
    <row r="568">
      <c r="A568" s="125"/>
      <c r="B568" s="125"/>
      <c r="C568" s="125"/>
      <c r="D568" s="125"/>
      <c r="E568" s="125"/>
      <c r="F568" s="125"/>
      <c r="G568" s="125"/>
      <c r="H568" s="125"/>
      <c r="I568" s="124" t="str">
        <f t="shared" si="4"/>
        <v/>
      </c>
      <c r="J568" s="119" t="s">
        <v>814</v>
      </c>
    </row>
    <row r="569">
      <c r="A569" s="125"/>
      <c r="B569" s="125"/>
      <c r="C569" s="125"/>
      <c r="D569" s="125"/>
      <c r="E569" s="125"/>
      <c r="F569" s="125"/>
      <c r="G569" s="125"/>
      <c r="H569" s="125"/>
      <c r="I569" s="124" t="str">
        <f t="shared" si="4"/>
        <v/>
      </c>
      <c r="J569" s="119" t="s">
        <v>814</v>
      </c>
    </row>
    <row r="570">
      <c r="A570" s="125"/>
      <c r="B570" s="125"/>
      <c r="C570" s="125"/>
      <c r="D570" s="125"/>
      <c r="E570" s="125"/>
      <c r="F570" s="125"/>
      <c r="G570" s="125"/>
      <c r="H570" s="125"/>
      <c r="I570" s="124" t="str">
        <f t="shared" si="4"/>
        <v/>
      </c>
      <c r="J570" s="119" t="s">
        <v>814</v>
      </c>
    </row>
    <row r="571">
      <c r="A571" s="125"/>
      <c r="B571" s="125"/>
      <c r="C571" s="125"/>
      <c r="D571" s="125"/>
      <c r="E571" s="125"/>
      <c r="F571" s="125"/>
      <c r="G571" s="125"/>
      <c r="H571" s="125"/>
      <c r="I571" s="124" t="str">
        <f t="shared" si="4"/>
        <v/>
      </c>
      <c r="J571" s="119" t="s">
        <v>814</v>
      </c>
    </row>
    <row r="572">
      <c r="A572" s="125"/>
      <c r="B572" s="125"/>
      <c r="C572" s="125"/>
      <c r="D572" s="125"/>
      <c r="E572" s="125"/>
      <c r="F572" s="125"/>
      <c r="G572" s="125"/>
      <c r="H572" s="125"/>
      <c r="I572" s="124" t="str">
        <f t="shared" si="4"/>
        <v/>
      </c>
      <c r="J572" s="119" t="s">
        <v>814</v>
      </c>
    </row>
    <row r="573">
      <c r="A573" s="125"/>
      <c r="B573" s="125"/>
      <c r="C573" s="125"/>
      <c r="D573" s="125"/>
      <c r="E573" s="125"/>
      <c r="F573" s="125"/>
      <c r="G573" s="125"/>
      <c r="H573" s="125"/>
      <c r="I573" s="124" t="str">
        <f t="shared" si="4"/>
        <v/>
      </c>
      <c r="J573" s="119" t="s">
        <v>814</v>
      </c>
    </row>
    <row r="574">
      <c r="A574" s="125"/>
      <c r="B574" s="125"/>
      <c r="C574" s="125"/>
      <c r="D574" s="125"/>
      <c r="E574" s="125"/>
      <c r="F574" s="125"/>
      <c r="G574" s="125"/>
      <c r="H574" s="125"/>
      <c r="I574" s="124" t="str">
        <f t="shared" si="4"/>
        <v/>
      </c>
      <c r="J574" s="119" t="s">
        <v>814</v>
      </c>
    </row>
    <row r="575">
      <c r="A575" s="125"/>
      <c r="B575" s="125"/>
      <c r="C575" s="125"/>
      <c r="D575" s="125"/>
      <c r="E575" s="125"/>
      <c r="F575" s="125"/>
      <c r="G575" s="125"/>
      <c r="H575" s="125"/>
      <c r="I575" s="124" t="str">
        <f t="shared" si="4"/>
        <v/>
      </c>
      <c r="J575" s="119" t="s">
        <v>814</v>
      </c>
    </row>
    <row r="576">
      <c r="A576" s="125"/>
      <c r="B576" s="125"/>
      <c r="C576" s="125"/>
      <c r="D576" s="125"/>
      <c r="E576" s="125"/>
      <c r="F576" s="125"/>
      <c r="G576" s="125"/>
      <c r="H576" s="125"/>
      <c r="I576" s="124" t="str">
        <f t="shared" si="4"/>
        <v/>
      </c>
      <c r="J576" s="119" t="s">
        <v>814</v>
      </c>
    </row>
    <row r="577">
      <c r="A577" s="125"/>
      <c r="B577" s="125"/>
      <c r="C577" s="125"/>
      <c r="D577" s="125"/>
      <c r="E577" s="125"/>
      <c r="F577" s="125"/>
      <c r="G577" s="125"/>
      <c r="H577" s="125"/>
      <c r="I577" s="124" t="str">
        <f t="shared" si="4"/>
        <v/>
      </c>
      <c r="J577" s="119" t="s">
        <v>814</v>
      </c>
    </row>
    <row r="578">
      <c r="A578" s="125"/>
      <c r="B578" s="125"/>
      <c r="C578" s="125"/>
      <c r="D578" s="125"/>
      <c r="E578" s="125"/>
      <c r="F578" s="125"/>
      <c r="G578" s="125"/>
      <c r="H578" s="125"/>
      <c r="I578" s="124" t="str">
        <f t="shared" si="4"/>
        <v/>
      </c>
      <c r="J578" s="119" t="s">
        <v>814</v>
      </c>
    </row>
    <row r="579">
      <c r="A579" s="125"/>
      <c r="B579" s="125"/>
      <c r="C579" s="125"/>
      <c r="D579" s="125"/>
      <c r="E579" s="125"/>
      <c r="F579" s="125"/>
      <c r="G579" s="125"/>
      <c r="H579" s="125"/>
      <c r="I579" s="124" t="str">
        <f t="shared" si="4"/>
        <v/>
      </c>
      <c r="J579" s="119" t="s">
        <v>814</v>
      </c>
    </row>
    <row r="580">
      <c r="A580" s="125"/>
      <c r="B580" s="125"/>
      <c r="C580" s="125"/>
      <c r="D580" s="125"/>
      <c r="E580" s="125"/>
      <c r="F580" s="125"/>
      <c r="G580" s="125"/>
      <c r="H580" s="125"/>
      <c r="I580" s="124" t="str">
        <f t="shared" si="4"/>
        <v/>
      </c>
      <c r="J580" s="119" t="s">
        <v>814</v>
      </c>
    </row>
    <row r="581">
      <c r="A581" s="125"/>
      <c r="B581" s="125"/>
      <c r="C581" s="125"/>
      <c r="D581" s="125"/>
      <c r="E581" s="125"/>
      <c r="F581" s="125"/>
      <c r="G581" s="125"/>
      <c r="H581" s="125"/>
      <c r="I581" s="124" t="str">
        <f t="shared" si="4"/>
        <v/>
      </c>
      <c r="J581" s="119" t="s">
        <v>814</v>
      </c>
    </row>
    <row r="582">
      <c r="A582" s="125"/>
      <c r="B582" s="125"/>
      <c r="C582" s="125"/>
      <c r="D582" s="125"/>
      <c r="E582" s="125"/>
      <c r="F582" s="125"/>
      <c r="G582" s="125"/>
      <c r="H582" s="125"/>
      <c r="I582" s="124" t="str">
        <f t="shared" si="4"/>
        <v/>
      </c>
      <c r="J582" s="119" t="s">
        <v>814</v>
      </c>
    </row>
    <row r="583">
      <c r="A583" s="125"/>
      <c r="B583" s="125"/>
      <c r="C583" s="125"/>
      <c r="D583" s="125"/>
      <c r="E583" s="125"/>
      <c r="F583" s="125"/>
      <c r="G583" s="125"/>
      <c r="H583" s="125"/>
      <c r="I583" s="124" t="str">
        <f t="shared" si="4"/>
        <v/>
      </c>
      <c r="J583" s="119" t="s">
        <v>814</v>
      </c>
    </row>
    <row r="584">
      <c r="A584" s="125"/>
      <c r="B584" s="125"/>
      <c r="C584" s="125"/>
      <c r="D584" s="125"/>
      <c r="E584" s="125"/>
      <c r="F584" s="125"/>
      <c r="G584" s="125"/>
      <c r="H584" s="125"/>
      <c r="I584" s="124" t="str">
        <f t="shared" si="4"/>
        <v/>
      </c>
      <c r="J584" s="119" t="s">
        <v>814</v>
      </c>
    </row>
    <row r="585">
      <c r="A585" s="125"/>
      <c r="B585" s="125"/>
      <c r="C585" s="125"/>
      <c r="D585" s="125"/>
      <c r="E585" s="125"/>
      <c r="F585" s="125"/>
      <c r="G585" s="125"/>
      <c r="H585" s="125"/>
      <c r="I585" s="124" t="str">
        <f t="shared" si="4"/>
        <v/>
      </c>
      <c r="J585" s="119" t="s">
        <v>814</v>
      </c>
    </row>
    <row r="586">
      <c r="A586" s="125"/>
      <c r="B586" s="125"/>
      <c r="C586" s="125"/>
      <c r="D586" s="125"/>
      <c r="E586" s="125"/>
      <c r="F586" s="125"/>
      <c r="G586" s="125"/>
      <c r="H586" s="125"/>
      <c r="I586" s="124" t="str">
        <f t="shared" si="4"/>
        <v/>
      </c>
      <c r="J586" s="119" t="s">
        <v>814</v>
      </c>
    </row>
    <row r="587">
      <c r="A587" s="125"/>
      <c r="B587" s="125"/>
      <c r="C587" s="125"/>
      <c r="D587" s="125"/>
      <c r="E587" s="125"/>
      <c r="F587" s="125"/>
      <c r="G587" s="125"/>
      <c r="H587" s="125"/>
      <c r="I587" s="124" t="str">
        <f t="shared" si="4"/>
        <v/>
      </c>
      <c r="J587" s="119" t="s">
        <v>814</v>
      </c>
    </row>
    <row r="588">
      <c r="A588" s="125"/>
      <c r="B588" s="125"/>
      <c r="C588" s="125"/>
      <c r="D588" s="125"/>
      <c r="E588" s="125"/>
      <c r="F588" s="125"/>
      <c r="G588" s="125"/>
      <c r="H588" s="125"/>
      <c r="I588" s="124" t="str">
        <f t="shared" si="4"/>
        <v/>
      </c>
      <c r="J588" s="119" t="s">
        <v>814</v>
      </c>
    </row>
    <row r="589">
      <c r="A589" s="125"/>
      <c r="B589" s="125"/>
      <c r="C589" s="125"/>
      <c r="D589" s="125"/>
      <c r="E589" s="125"/>
      <c r="F589" s="125"/>
      <c r="G589" s="125"/>
      <c r="H589" s="125"/>
      <c r="I589" s="124" t="str">
        <f t="shared" si="4"/>
        <v/>
      </c>
      <c r="J589" s="119" t="s">
        <v>814</v>
      </c>
    </row>
    <row r="590">
      <c r="A590" s="125"/>
      <c r="B590" s="125"/>
      <c r="C590" s="125"/>
      <c r="D590" s="125"/>
      <c r="E590" s="125"/>
      <c r="F590" s="125"/>
      <c r="G590" s="125"/>
      <c r="H590" s="125"/>
      <c r="I590" s="124" t="str">
        <f t="shared" si="4"/>
        <v/>
      </c>
      <c r="J590" s="119" t="s">
        <v>814</v>
      </c>
    </row>
    <row r="591">
      <c r="A591" s="125"/>
      <c r="B591" s="125"/>
      <c r="C591" s="125"/>
      <c r="D591" s="125"/>
      <c r="E591" s="125"/>
      <c r="F591" s="125"/>
      <c r="G591" s="125"/>
      <c r="H591" s="125"/>
      <c r="I591" s="124" t="str">
        <f t="shared" si="4"/>
        <v/>
      </c>
      <c r="J591" s="119" t="s">
        <v>814</v>
      </c>
    </row>
    <row r="592">
      <c r="A592" s="125"/>
      <c r="B592" s="125"/>
      <c r="C592" s="125"/>
      <c r="D592" s="125"/>
      <c r="E592" s="125"/>
      <c r="F592" s="125"/>
      <c r="G592" s="125"/>
      <c r="H592" s="125"/>
      <c r="I592" s="124" t="str">
        <f t="shared" si="4"/>
        <v/>
      </c>
      <c r="J592" s="119" t="s">
        <v>814</v>
      </c>
    </row>
    <row r="593">
      <c r="A593" s="125"/>
      <c r="B593" s="125"/>
      <c r="C593" s="125"/>
      <c r="D593" s="125"/>
      <c r="E593" s="125"/>
      <c r="F593" s="125"/>
      <c r="G593" s="125"/>
      <c r="H593" s="125"/>
      <c r="I593" s="124" t="str">
        <f t="shared" si="4"/>
        <v/>
      </c>
      <c r="J593" s="119" t="s">
        <v>814</v>
      </c>
    </row>
    <row r="594">
      <c r="A594" s="125"/>
      <c r="B594" s="125"/>
      <c r="C594" s="125"/>
      <c r="D594" s="125"/>
      <c r="E594" s="125"/>
      <c r="F594" s="125"/>
      <c r="G594" s="125"/>
      <c r="H594" s="125"/>
      <c r="I594" s="124" t="str">
        <f t="shared" si="4"/>
        <v/>
      </c>
      <c r="J594" s="119" t="s">
        <v>814</v>
      </c>
    </row>
    <row r="595">
      <c r="A595" s="125"/>
      <c r="B595" s="125"/>
      <c r="C595" s="125"/>
      <c r="D595" s="125"/>
      <c r="E595" s="125"/>
      <c r="F595" s="125"/>
      <c r="G595" s="125"/>
      <c r="H595" s="125"/>
      <c r="I595" s="124" t="str">
        <f t="shared" si="4"/>
        <v/>
      </c>
      <c r="J595" s="119" t="s">
        <v>814</v>
      </c>
    </row>
    <row r="596">
      <c r="A596" s="125"/>
      <c r="B596" s="125"/>
      <c r="C596" s="125"/>
      <c r="D596" s="125"/>
      <c r="E596" s="125"/>
      <c r="F596" s="125"/>
      <c r="G596" s="125"/>
      <c r="H596" s="125"/>
      <c r="I596" s="124" t="str">
        <f t="shared" si="4"/>
        <v/>
      </c>
      <c r="J596" s="119" t="s">
        <v>814</v>
      </c>
    </row>
    <row r="597">
      <c r="A597" s="125"/>
      <c r="B597" s="125"/>
      <c r="C597" s="125"/>
      <c r="D597" s="125"/>
      <c r="E597" s="125"/>
      <c r="F597" s="125"/>
      <c r="G597" s="125"/>
      <c r="H597" s="125"/>
      <c r="I597" s="124" t="str">
        <f t="shared" si="4"/>
        <v/>
      </c>
      <c r="J597" s="119" t="s">
        <v>814</v>
      </c>
    </row>
    <row r="598">
      <c r="A598" s="125"/>
      <c r="B598" s="125"/>
      <c r="C598" s="125"/>
      <c r="D598" s="125"/>
      <c r="E598" s="125"/>
      <c r="F598" s="125"/>
      <c r="G598" s="125"/>
      <c r="H598" s="125"/>
      <c r="I598" s="124" t="str">
        <f t="shared" si="4"/>
        <v/>
      </c>
      <c r="J598" s="119" t="s">
        <v>814</v>
      </c>
    </row>
    <row r="599">
      <c r="A599" s="125"/>
      <c r="B599" s="125"/>
      <c r="C599" s="125"/>
      <c r="D599" s="125"/>
      <c r="E599" s="125"/>
      <c r="F599" s="125"/>
      <c r="G599" s="125"/>
      <c r="H599" s="125"/>
      <c r="I599" s="124" t="str">
        <f t="shared" si="4"/>
        <v/>
      </c>
      <c r="J599" s="119" t="s">
        <v>814</v>
      </c>
    </row>
    <row r="600">
      <c r="A600" s="125"/>
      <c r="B600" s="125"/>
      <c r="C600" s="125"/>
      <c r="D600" s="125"/>
      <c r="E600" s="125"/>
      <c r="F600" s="125"/>
      <c r="G600" s="125"/>
      <c r="H600" s="125"/>
      <c r="I600" s="124" t="str">
        <f t="shared" si="4"/>
        <v/>
      </c>
      <c r="J600" s="119" t="s">
        <v>814</v>
      </c>
    </row>
    <row r="601">
      <c r="A601" s="125"/>
      <c r="B601" s="125"/>
      <c r="C601" s="125"/>
      <c r="D601" s="125"/>
      <c r="E601" s="125"/>
      <c r="F601" s="125"/>
      <c r="G601" s="125"/>
      <c r="H601" s="125"/>
      <c r="I601" s="124" t="str">
        <f t="shared" si="4"/>
        <v/>
      </c>
      <c r="J601" s="119" t="s">
        <v>814</v>
      </c>
    </row>
    <row r="602">
      <c r="A602" s="125"/>
      <c r="B602" s="125"/>
      <c r="C602" s="125"/>
      <c r="D602" s="125"/>
      <c r="E602" s="125"/>
      <c r="F602" s="125"/>
      <c r="G602" s="125"/>
      <c r="H602" s="125"/>
      <c r="I602" s="124" t="str">
        <f t="shared" si="4"/>
        <v/>
      </c>
      <c r="J602" s="119" t="s">
        <v>814</v>
      </c>
    </row>
    <row r="603">
      <c r="A603" s="125"/>
      <c r="B603" s="125"/>
      <c r="C603" s="125"/>
      <c r="D603" s="125"/>
      <c r="E603" s="125"/>
      <c r="F603" s="125"/>
      <c r="G603" s="125"/>
      <c r="H603" s="125"/>
      <c r="I603" s="124" t="str">
        <f t="shared" si="4"/>
        <v/>
      </c>
      <c r="J603" s="119" t="s">
        <v>814</v>
      </c>
    </row>
    <row r="604">
      <c r="A604" s="125"/>
      <c r="B604" s="125"/>
      <c r="C604" s="125"/>
      <c r="D604" s="125"/>
      <c r="E604" s="125"/>
      <c r="F604" s="125"/>
      <c r="G604" s="125"/>
      <c r="H604" s="125"/>
      <c r="I604" s="124" t="str">
        <f t="shared" si="4"/>
        <v/>
      </c>
      <c r="J604" s="119" t="s">
        <v>814</v>
      </c>
    </row>
    <row r="605">
      <c r="A605" s="125"/>
      <c r="B605" s="125"/>
      <c r="C605" s="125"/>
      <c r="D605" s="125"/>
      <c r="E605" s="125"/>
      <c r="F605" s="125"/>
      <c r="G605" s="125"/>
      <c r="H605" s="125"/>
      <c r="I605" s="124" t="str">
        <f t="shared" si="4"/>
        <v/>
      </c>
      <c r="J605" s="119" t="s">
        <v>814</v>
      </c>
    </row>
    <row r="606">
      <c r="A606" s="125"/>
      <c r="B606" s="125"/>
      <c r="C606" s="125"/>
      <c r="D606" s="125"/>
      <c r="E606" s="125"/>
      <c r="F606" s="125"/>
      <c r="G606" s="125"/>
      <c r="H606" s="125"/>
      <c r="I606" s="124" t="str">
        <f t="shared" si="4"/>
        <v/>
      </c>
      <c r="J606" s="119" t="s">
        <v>814</v>
      </c>
    </row>
    <row r="607">
      <c r="A607" s="125"/>
      <c r="B607" s="125"/>
      <c r="C607" s="125"/>
      <c r="D607" s="125"/>
      <c r="E607" s="125"/>
      <c r="F607" s="125"/>
      <c r="G607" s="125"/>
      <c r="H607" s="125"/>
      <c r="I607" s="124" t="str">
        <f t="shared" si="4"/>
        <v/>
      </c>
      <c r="J607" s="119" t="s">
        <v>814</v>
      </c>
    </row>
    <row r="608">
      <c r="A608" s="125"/>
      <c r="B608" s="125"/>
      <c r="C608" s="125"/>
      <c r="D608" s="125"/>
      <c r="E608" s="125"/>
      <c r="F608" s="125"/>
      <c r="G608" s="125"/>
      <c r="H608" s="125"/>
      <c r="I608" s="124" t="str">
        <f t="shared" si="4"/>
        <v/>
      </c>
      <c r="J608" s="119" t="s">
        <v>814</v>
      </c>
    </row>
    <row r="609">
      <c r="A609" s="125"/>
      <c r="B609" s="125"/>
      <c r="C609" s="125"/>
      <c r="D609" s="125"/>
      <c r="E609" s="125"/>
      <c r="F609" s="125"/>
      <c r="G609" s="125"/>
      <c r="H609" s="125"/>
      <c r="I609" s="124" t="str">
        <f t="shared" si="4"/>
        <v/>
      </c>
      <c r="J609" s="119" t="s">
        <v>814</v>
      </c>
    </row>
    <row r="610">
      <c r="A610" s="125"/>
      <c r="B610" s="125"/>
      <c r="C610" s="125"/>
      <c r="D610" s="125"/>
      <c r="E610" s="125"/>
      <c r="F610" s="125"/>
      <c r="G610" s="125"/>
      <c r="H610" s="125"/>
      <c r="I610" s="124" t="str">
        <f t="shared" si="4"/>
        <v/>
      </c>
      <c r="J610" s="119" t="s">
        <v>814</v>
      </c>
    </row>
    <row r="611">
      <c r="A611" s="125"/>
      <c r="B611" s="125"/>
      <c r="C611" s="125"/>
      <c r="D611" s="125"/>
      <c r="E611" s="125"/>
      <c r="F611" s="125"/>
      <c r="G611" s="125"/>
      <c r="H611" s="125"/>
      <c r="I611" s="124" t="str">
        <f t="shared" si="4"/>
        <v/>
      </c>
      <c r="J611" s="119" t="s">
        <v>814</v>
      </c>
    </row>
    <row r="612">
      <c r="A612" s="125"/>
      <c r="B612" s="125"/>
      <c r="C612" s="125"/>
      <c r="D612" s="125"/>
      <c r="E612" s="125"/>
      <c r="F612" s="125"/>
      <c r="G612" s="125"/>
      <c r="H612" s="125"/>
      <c r="I612" s="124" t="str">
        <f t="shared" si="4"/>
        <v/>
      </c>
      <c r="J612" s="119" t="s">
        <v>814</v>
      </c>
    </row>
    <row r="613">
      <c r="A613" s="125"/>
      <c r="B613" s="125"/>
      <c r="C613" s="125"/>
      <c r="D613" s="125"/>
      <c r="E613" s="125"/>
      <c r="F613" s="125"/>
      <c r="G613" s="125"/>
      <c r="H613" s="125"/>
      <c r="I613" s="124" t="str">
        <f t="shared" si="4"/>
        <v/>
      </c>
      <c r="J613" s="119" t="s">
        <v>814</v>
      </c>
    </row>
    <row r="614">
      <c r="A614" s="125"/>
      <c r="B614" s="125"/>
      <c r="C614" s="125"/>
      <c r="D614" s="125"/>
      <c r="E614" s="125"/>
      <c r="F614" s="125"/>
      <c r="G614" s="125"/>
      <c r="H614" s="125"/>
      <c r="I614" s="124" t="str">
        <f t="shared" si="4"/>
        <v/>
      </c>
      <c r="J614" s="119" t="s">
        <v>814</v>
      </c>
    </row>
    <row r="615">
      <c r="A615" s="125"/>
      <c r="B615" s="125"/>
      <c r="C615" s="125"/>
      <c r="D615" s="125"/>
      <c r="E615" s="125"/>
      <c r="F615" s="125"/>
      <c r="G615" s="125"/>
      <c r="H615" s="125"/>
      <c r="I615" s="124" t="str">
        <f t="shared" si="4"/>
        <v/>
      </c>
      <c r="J615" s="119" t="s">
        <v>814</v>
      </c>
    </row>
    <row r="616">
      <c r="A616" s="125"/>
      <c r="B616" s="125"/>
      <c r="C616" s="125"/>
      <c r="D616" s="125"/>
      <c r="E616" s="125"/>
      <c r="F616" s="125"/>
      <c r="G616" s="125"/>
      <c r="H616" s="125"/>
      <c r="I616" s="124" t="str">
        <f t="shared" si="4"/>
        <v/>
      </c>
      <c r="J616" s="119" t="s">
        <v>814</v>
      </c>
    </row>
    <row r="617">
      <c r="A617" s="125"/>
      <c r="B617" s="125"/>
      <c r="C617" s="125"/>
      <c r="D617" s="125"/>
      <c r="E617" s="125"/>
      <c r="F617" s="125"/>
      <c r="G617" s="125"/>
      <c r="H617" s="125"/>
      <c r="I617" s="124" t="str">
        <f t="shared" si="4"/>
        <v/>
      </c>
      <c r="J617" s="119" t="s">
        <v>814</v>
      </c>
    </row>
    <row r="618">
      <c r="A618" s="125"/>
      <c r="B618" s="125"/>
      <c r="C618" s="125"/>
      <c r="D618" s="125"/>
      <c r="E618" s="125"/>
      <c r="F618" s="125"/>
      <c r="G618" s="125"/>
      <c r="H618" s="125"/>
      <c r="I618" s="124" t="str">
        <f t="shared" si="4"/>
        <v/>
      </c>
      <c r="J618" s="119" t="s">
        <v>814</v>
      </c>
    </row>
    <row r="619">
      <c r="A619" s="125"/>
      <c r="B619" s="125"/>
      <c r="C619" s="125"/>
      <c r="D619" s="125"/>
      <c r="E619" s="125"/>
      <c r="F619" s="125"/>
      <c r="G619" s="125"/>
      <c r="H619" s="125"/>
      <c r="I619" s="124" t="str">
        <f t="shared" si="4"/>
        <v/>
      </c>
      <c r="J619" s="119" t="s">
        <v>814</v>
      </c>
    </row>
    <row r="620">
      <c r="A620" s="125"/>
      <c r="B620" s="125"/>
      <c r="C620" s="125"/>
      <c r="D620" s="125"/>
      <c r="E620" s="125"/>
      <c r="F620" s="125"/>
      <c r="G620" s="125"/>
      <c r="H620" s="125"/>
      <c r="I620" s="124" t="str">
        <f t="shared" si="4"/>
        <v/>
      </c>
      <c r="J620" s="119" t="s">
        <v>814</v>
      </c>
    </row>
    <row r="621">
      <c r="A621" s="125"/>
      <c r="B621" s="125"/>
      <c r="C621" s="125"/>
      <c r="D621" s="125"/>
      <c r="E621" s="125"/>
      <c r="F621" s="125"/>
      <c r="G621" s="125"/>
      <c r="H621" s="125"/>
      <c r="I621" s="124" t="str">
        <f t="shared" si="4"/>
        <v/>
      </c>
      <c r="J621" s="119" t="s">
        <v>814</v>
      </c>
    </row>
    <row r="622">
      <c r="A622" s="125"/>
      <c r="B622" s="125"/>
      <c r="C622" s="125"/>
      <c r="D622" s="125"/>
      <c r="E622" s="125"/>
      <c r="F622" s="125"/>
      <c r="G622" s="125"/>
      <c r="H622" s="125"/>
      <c r="I622" s="124" t="str">
        <f t="shared" si="4"/>
        <v/>
      </c>
      <c r="J622" s="119" t="s">
        <v>814</v>
      </c>
    </row>
    <row r="623">
      <c r="A623" s="125"/>
      <c r="B623" s="125"/>
      <c r="C623" s="125"/>
      <c r="D623" s="125"/>
      <c r="E623" s="125"/>
      <c r="F623" s="125"/>
      <c r="G623" s="125"/>
      <c r="H623" s="125"/>
      <c r="I623" s="124" t="str">
        <f t="shared" si="4"/>
        <v/>
      </c>
      <c r="J623" s="119" t="s">
        <v>814</v>
      </c>
    </row>
    <row r="624">
      <c r="A624" s="125"/>
      <c r="B624" s="125"/>
      <c r="C624" s="125"/>
      <c r="D624" s="125"/>
      <c r="E624" s="125"/>
      <c r="F624" s="125"/>
      <c r="G624" s="125"/>
      <c r="H624" s="125"/>
      <c r="I624" s="124" t="str">
        <f t="shared" si="4"/>
        <v/>
      </c>
      <c r="J624" s="119" t="s">
        <v>814</v>
      </c>
    </row>
    <row r="625">
      <c r="A625" s="125"/>
      <c r="B625" s="125"/>
      <c r="C625" s="125"/>
      <c r="D625" s="125"/>
      <c r="E625" s="125"/>
      <c r="F625" s="125"/>
      <c r="G625" s="125"/>
      <c r="H625" s="125"/>
      <c r="I625" s="124" t="str">
        <f t="shared" si="4"/>
        <v/>
      </c>
      <c r="J625" s="119" t="s">
        <v>814</v>
      </c>
    </row>
    <row r="626">
      <c r="A626" s="125"/>
      <c r="B626" s="125"/>
      <c r="C626" s="125"/>
      <c r="D626" s="125"/>
      <c r="E626" s="125"/>
      <c r="F626" s="125"/>
      <c r="G626" s="125"/>
      <c r="H626" s="125"/>
      <c r="I626" s="124" t="str">
        <f t="shared" si="4"/>
        <v/>
      </c>
      <c r="J626" s="119" t="s">
        <v>814</v>
      </c>
    </row>
    <row r="627">
      <c r="A627" s="125"/>
      <c r="B627" s="125"/>
      <c r="C627" s="125"/>
      <c r="D627" s="125"/>
      <c r="E627" s="125"/>
      <c r="F627" s="125"/>
      <c r="G627" s="125"/>
      <c r="H627" s="125"/>
      <c r="I627" s="124" t="str">
        <f t="shared" si="4"/>
        <v/>
      </c>
      <c r="J627" s="119" t="s">
        <v>814</v>
      </c>
    </row>
    <row r="628">
      <c r="A628" s="125"/>
      <c r="B628" s="125"/>
      <c r="C628" s="125"/>
      <c r="D628" s="125"/>
      <c r="E628" s="125"/>
      <c r="F628" s="125"/>
      <c r="G628" s="125"/>
      <c r="H628" s="125"/>
      <c r="I628" s="124" t="str">
        <f t="shared" si="4"/>
        <v/>
      </c>
      <c r="J628" s="119" t="s">
        <v>814</v>
      </c>
    </row>
    <row r="629">
      <c r="A629" s="125"/>
      <c r="B629" s="125"/>
      <c r="C629" s="125"/>
      <c r="D629" s="125"/>
      <c r="E629" s="125"/>
      <c r="F629" s="125"/>
      <c r="G629" s="125"/>
      <c r="H629" s="125"/>
      <c r="I629" s="124" t="str">
        <f t="shared" si="4"/>
        <v/>
      </c>
      <c r="J629" s="119" t="s">
        <v>814</v>
      </c>
    </row>
    <row r="630">
      <c r="A630" s="125"/>
      <c r="B630" s="125"/>
      <c r="C630" s="125"/>
      <c r="D630" s="125"/>
      <c r="E630" s="125"/>
      <c r="F630" s="125"/>
      <c r="G630" s="125"/>
      <c r="H630" s="125"/>
      <c r="I630" s="124" t="str">
        <f t="shared" si="4"/>
        <v/>
      </c>
      <c r="J630" s="119" t="s">
        <v>814</v>
      </c>
    </row>
    <row r="631">
      <c r="A631" s="125"/>
      <c r="B631" s="125"/>
      <c r="C631" s="125"/>
      <c r="D631" s="125"/>
      <c r="E631" s="125"/>
      <c r="F631" s="125"/>
      <c r="G631" s="125"/>
      <c r="H631" s="125"/>
      <c r="I631" s="124" t="str">
        <f t="shared" si="4"/>
        <v/>
      </c>
      <c r="J631" s="119" t="s">
        <v>814</v>
      </c>
    </row>
    <row r="632">
      <c r="A632" s="125"/>
      <c r="B632" s="125"/>
      <c r="C632" s="125"/>
      <c r="D632" s="125"/>
      <c r="E632" s="125"/>
      <c r="F632" s="125"/>
      <c r="G632" s="125"/>
      <c r="H632" s="125"/>
      <c r="I632" s="124" t="str">
        <f t="shared" si="4"/>
        <v/>
      </c>
      <c r="J632" s="119" t="s">
        <v>814</v>
      </c>
    </row>
    <row r="633">
      <c r="A633" s="125"/>
      <c r="B633" s="125"/>
      <c r="C633" s="125"/>
      <c r="D633" s="125"/>
      <c r="E633" s="125"/>
      <c r="F633" s="125"/>
      <c r="G633" s="125"/>
      <c r="H633" s="125"/>
      <c r="I633" s="124" t="str">
        <f t="shared" si="4"/>
        <v/>
      </c>
      <c r="J633" s="119" t="s">
        <v>814</v>
      </c>
    </row>
    <row r="634">
      <c r="A634" s="125"/>
      <c r="B634" s="125"/>
      <c r="C634" s="125"/>
      <c r="D634" s="125"/>
      <c r="E634" s="125"/>
      <c r="F634" s="125"/>
      <c r="G634" s="125"/>
      <c r="H634" s="125"/>
      <c r="I634" s="124" t="str">
        <f t="shared" si="4"/>
        <v/>
      </c>
      <c r="J634" s="119" t="s">
        <v>814</v>
      </c>
    </row>
    <row r="635">
      <c r="A635" s="125"/>
      <c r="B635" s="125"/>
      <c r="C635" s="125"/>
      <c r="D635" s="125"/>
      <c r="E635" s="125"/>
      <c r="F635" s="125"/>
      <c r="G635" s="125"/>
      <c r="H635" s="125"/>
      <c r="I635" s="124" t="str">
        <f t="shared" si="4"/>
        <v/>
      </c>
      <c r="J635" s="119" t="s">
        <v>814</v>
      </c>
    </row>
    <row r="636">
      <c r="A636" s="125"/>
      <c r="B636" s="125"/>
      <c r="C636" s="125"/>
      <c r="D636" s="125"/>
      <c r="E636" s="125"/>
      <c r="F636" s="125"/>
      <c r="G636" s="125"/>
      <c r="H636" s="125"/>
      <c r="I636" s="124" t="str">
        <f t="shared" si="4"/>
        <v/>
      </c>
      <c r="J636" s="119" t="s">
        <v>814</v>
      </c>
    </row>
    <row r="637">
      <c r="A637" s="125"/>
      <c r="B637" s="125"/>
      <c r="C637" s="125"/>
      <c r="D637" s="125"/>
      <c r="E637" s="125"/>
      <c r="F637" s="125"/>
      <c r="G637" s="125"/>
      <c r="H637" s="125"/>
      <c r="I637" s="124" t="str">
        <f t="shared" si="4"/>
        <v/>
      </c>
      <c r="J637" s="119" t="s">
        <v>814</v>
      </c>
    </row>
    <row r="638">
      <c r="A638" s="125"/>
      <c r="B638" s="125"/>
      <c r="C638" s="125"/>
      <c r="D638" s="125"/>
      <c r="E638" s="125"/>
      <c r="F638" s="125"/>
      <c r="G638" s="125"/>
      <c r="H638" s="125"/>
      <c r="I638" s="124" t="str">
        <f t="shared" si="4"/>
        <v/>
      </c>
      <c r="J638" s="119" t="s">
        <v>814</v>
      </c>
    </row>
    <row r="639">
      <c r="A639" s="125"/>
      <c r="B639" s="125"/>
      <c r="C639" s="125"/>
      <c r="D639" s="125"/>
      <c r="E639" s="125"/>
      <c r="F639" s="125"/>
      <c r="G639" s="125"/>
      <c r="H639" s="125"/>
      <c r="I639" s="124" t="str">
        <f t="shared" si="4"/>
        <v/>
      </c>
      <c r="J639" s="119" t="s">
        <v>814</v>
      </c>
    </row>
    <row r="640">
      <c r="A640" s="125"/>
      <c r="B640" s="125"/>
      <c r="C640" s="125"/>
      <c r="D640" s="125"/>
      <c r="E640" s="125"/>
      <c r="F640" s="125"/>
      <c r="G640" s="125"/>
      <c r="H640" s="125"/>
      <c r="I640" s="124" t="str">
        <f t="shared" si="4"/>
        <v/>
      </c>
      <c r="J640" s="119" t="s">
        <v>814</v>
      </c>
    </row>
    <row r="641">
      <c r="A641" s="125"/>
      <c r="B641" s="125"/>
      <c r="C641" s="125"/>
      <c r="D641" s="125"/>
      <c r="E641" s="125"/>
      <c r="F641" s="125"/>
      <c r="G641" s="125"/>
      <c r="H641" s="125"/>
      <c r="I641" s="124" t="str">
        <f t="shared" si="4"/>
        <v/>
      </c>
      <c r="J641" s="119" t="s">
        <v>814</v>
      </c>
    </row>
    <row r="642">
      <c r="A642" s="125"/>
      <c r="B642" s="125"/>
      <c r="C642" s="125"/>
      <c r="D642" s="125"/>
      <c r="E642" s="125"/>
      <c r="F642" s="125"/>
      <c r="G642" s="125"/>
      <c r="H642" s="125"/>
      <c r="I642" s="124" t="str">
        <f t="shared" si="4"/>
        <v/>
      </c>
      <c r="J642" s="119" t="s">
        <v>814</v>
      </c>
    </row>
    <row r="643">
      <c r="A643" s="125"/>
      <c r="B643" s="125"/>
      <c r="C643" s="125"/>
      <c r="D643" s="125"/>
      <c r="E643" s="125"/>
      <c r="F643" s="125"/>
      <c r="G643" s="125"/>
      <c r="H643" s="125"/>
      <c r="I643" s="124" t="str">
        <f t="shared" si="4"/>
        <v/>
      </c>
      <c r="J643" s="119" t="s">
        <v>814</v>
      </c>
    </row>
    <row r="644">
      <c r="A644" s="125"/>
      <c r="B644" s="125"/>
      <c r="C644" s="125"/>
      <c r="D644" s="125"/>
      <c r="E644" s="125"/>
      <c r="F644" s="125"/>
      <c r="G644" s="125"/>
      <c r="H644" s="125"/>
      <c r="I644" s="124" t="str">
        <f t="shared" si="4"/>
        <v/>
      </c>
      <c r="J644" s="119" t="s">
        <v>814</v>
      </c>
    </row>
    <row r="645">
      <c r="A645" s="125"/>
      <c r="B645" s="125"/>
      <c r="C645" s="125"/>
      <c r="D645" s="125"/>
      <c r="E645" s="125"/>
      <c r="F645" s="125"/>
      <c r="G645" s="125"/>
      <c r="H645" s="125"/>
      <c r="I645" s="124" t="str">
        <f t="shared" si="4"/>
        <v/>
      </c>
      <c r="J645" s="119" t="s">
        <v>814</v>
      </c>
    </row>
    <row r="646">
      <c r="A646" s="125"/>
      <c r="B646" s="125"/>
      <c r="C646" s="125"/>
      <c r="D646" s="125"/>
      <c r="E646" s="125"/>
      <c r="F646" s="125"/>
      <c r="G646" s="125"/>
      <c r="H646" s="125"/>
      <c r="I646" s="124" t="str">
        <f t="shared" si="4"/>
        <v/>
      </c>
      <c r="J646" s="119" t="s">
        <v>814</v>
      </c>
    </row>
    <row r="647">
      <c r="A647" s="125"/>
      <c r="B647" s="125"/>
      <c r="C647" s="125"/>
      <c r="D647" s="125"/>
      <c r="E647" s="125"/>
      <c r="F647" s="125"/>
      <c r="G647" s="125"/>
      <c r="H647" s="125"/>
      <c r="I647" s="124" t="str">
        <f t="shared" si="4"/>
        <v/>
      </c>
      <c r="J647" s="119" t="s">
        <v>814</v>
      </c>
    </row>
    <row r="648">
      <c r="A648" s="125"/>
      <c r="B648" s="125"/>
      <c r="C648" s="125"/>
      <c r="D648" s="125"/>
      <c r="E648" s="125"/>
      <c r="F648" s="125"/>
      <c r="G648" s="125"/>
      <c r="H648" s="125"/>
      <c r="I648" s="124" t="str">
        <f t="shared" si="4"/>
        <v/>
      </c>
      <c r="J648" s="119" t="s">
        <v>814</v>
      </c>
    </row>
    <row r="649">
      <c r="A649" s="125"/>
      <c r="B649" s="125"/>
      <c r="C649" s="125"/>
      <c r="D649" s="125"/>
      <c r="E649" s="125"/>
      <c r="F649" s="125"/>
      <c r="G649" s="125"/>
      <c r="H649" s="125"/>
      <c r="I649" s="124" t="str">
        <f t="shared" si="4"/>
        <v/>
      </c>
      <c r="J649" s="119" t="s">
        <v>814</v>
      </c>
    </row>
    <row r="650">
      <c r="A650" s="125"/>
      <c r="B650" s="125"/>
      <c r="C650" s="125"/>
      <c r="D650" s="125"/>
      <c r="E650" s="125"/>
      <c r="F650" s="125"/>
      <c r="G650" s="125"/>
      <c r="H650" s="125"/>
      <c r="I650" s="124" t="str">
        <f t="shared" si="4"/>
        <v/>
      </c>
      <c r="J650" s="119" t="s">
        <v>814</v>
      </c>
    </row>
    <row r="651">
      <c r="A651" s="125"/>
      <c r="B651" s="125"/>
      <c r="C651" s="125"/>
      <c r="D651" s="125"/>
      <c r="E651" s="125"/>
      <c r="F651" s="125"/>
      <c r="G651" s="125"/>
      <c r="H651" s="125"/>
      <c r="I651" s="124" t="str">
        <f t="shared" si="4"/>
        <v/>
      </c>
      <c r="J651" s="119" t="s">
        <v>814</v>
      </c>
    </row>
    <row r="652">
      <c r="A652" s="125"/>
      <c r="B652" s="125"/>
      <c r="C652" s="125"/>
      <c r="D652" s="125"/>
      <c r="E652" s="125"/>
      <c r="F652" s="125"/>
      <c r="G652" s="125"/>
      <c r="H652" s="125"/>
      <c r="I652" s="124" t="str">
        <f t="shared" si="4"/>
        <v/>
      </c>
      <c r="J652" s="119" t="s">
        <v>814</v>
      </c>
    </row>
    <row r="653">
      <c r="A653" s="125"/>
      <c r="B653" s="125"/>
      <c r="C653" s="125"/>
      <c r="D653" s="125"/>
      <c r="E653" s="125"/>
      <c r="F653" s="125"/>
      <c r="G653" s="125"/>
      <c r="H653" s="125"/>
      <c r="I653" s="124" t="str">
        <f t="shared" si="4"/>
        <v/>
      </c>
      <c r="J653" s="119" t="s">
        <v>814</v>
      </c>
    </row>
    <row r="654">
      <c r="A654" s="125"/>
      <c r="B654" s="125"/>
      <c r="C654" s="125"/>
      <c r="D654" s="125"/>
      <c r="E654" s="125"/>
      <c r="F654" s="125"/>
      <c r="G654" s="125"/>
      <c r="H654" s="125"/>
      <c r="I654" s="124" t="str">
        <f t="shared" si="4"/>
        <v/>
      </c>
      <c r="J654" s="119" t="s">
        <v>814</v>
      </c>
    </row>
    <row r="655">
      <c r="A655" s="125"/>
      <c r="B655" s="125"/>
      <c r="C655" s="125"/>
      <c r="D655" s="125"/>
      <c r="E655" s="125"/>
      <c r="F655" s="125"/>
      <c r="G655" s="125"/>
      <c r="H655" s="125"/>
      <c r="I655" s="124" t="str">
        <f t="shared" si="4"/>
        <v/>
      </c>
      <c r="J655" s="119" t="s">
        <v>814</v>
      </c>
    </row>
    <row r="656">
      <c r="A656" s="125"/>
      <c r="B656" s="125"/>
      <c r="C656" s="125"/>
      <c r="D656" s="125"/>
      <c r="E656" s="125"/>
      <c r="F656" s="125"/>
      <c r="G656" s="125"/>
      <c r="H656" s="125"/>
      <c r="I656" s="124" t="str">
        <f t="shared" si="4"/>
        <v/>
      </c>
      <c r="J656" s="119" t="s">
        <v>814</v>
      </c>
    </row>
    <row r="657">
      <c r="A657" s="125"/>
      <c r="B657" s="125"/>
      <c r="C657" s="125"/>
      <c r="D657" s="125"/>
      <c r="E657" s="125"/>
      <c r="F657" s="125"/>
      <c r="G657" s="125"/>
      <c r="H657" s="125"/>
      <c r="I657" s="124" t="str">
        <f t="shared" si="4"/>
        <v/>
      </c>
      <c r="J657" s="119" t="s">
        <v>814</v>
      </c>
    </row>
    <row r="658">
      <c r="A658" s="125"/>
      <c r="B658" s="125"/>
      <c r="C658" s="125"/>
      <c r="D658" s="125"/>
      <c r="E658" s="125"/>
      <c r="F658" s="125"/>
      <c r="G658" s="125"/>
      <c r="H658" s="125"/>
      <c r="I658" s="124" t="str">
        <f t="shared" si="4"/>
        <v/>
      </c>
      <c r="J658" s="119" t="s">
        <v>814</v>
      </c>
    </row>
    <row r="659">
      <c r="A659" s="125"/>
      <c r="B659" s="125"/>
      <c r="C659" s="125"/>
      <c r="D659" s="125"/>
      <c r="E659" s="125"/>
      <c r="F659" s="125"/>
      <c r="G659" s="125"/>
      <c r="H659" s="125"/>
      <c r="I659" s="124" t="str">
        <f t="shared" si="4"/>
        <v/>
      </c>
      <c r="J659" s="119" t="s">
        <v>814</v>
      </c>
    </row>
    <row r="660">
      <c r="A660" s="125"/>
      <c r="B660" s="125"/>
      <c r="C660" s="125"/>
      <c r="D660" s="125"/>
      <c r="E660" s="125"/>
      <c r="F660" s="125"/>
      <c r="G660" s="125"/>
      <c r="H660" s="125"/>
      <c r="I660" s="124" t="str">
        <f t="shared" si="4"/>
        <v/>
      </c>
      <c r="J660" s="119" t="s">
        <v>814</v>
      </c>
    </row>
    <row r="661">
      <c r="A661" s="125"/>
      <c r="B661" s="125"/>
      <c r="C661" s="125"/>
      <c r="D661" s="125"/>
      <c r="E661" s="125"/>
      <c r="F661" s="125"/>
      <c r="G661" s="125"/>
      <c r="H661" s="125"/>
      <c r="I661" s="124" t="str">
        <f t="shared" si="4"/>
        <v/>
      </c>
      <c r="J661" s="119" t="s">
        <v>814</v>
      </c>
    </row>
    <row r="662">
      <c r="A662" s="125"/>
      <c r="B662" s="125"/>
      <c r="C662" s="125"/>
      <c r="D662" s="125"/>
      <c r="E662" s="125"/>
      <c r="F662" s="125"/>
      <c r="G662" s="125"/>
      <c r="H662" s="125"/>
      <c r="I662" s="124" t="str">
        <f t="shared" si="4"/>
        <v/>
      </c>
      <c r="J662" s="119" t="s">
        <v>814</v>
      </c>
    </row>
    <row r="663">
      <c r="A663" s="125"/>
      <c r="B663" s="125"/>
      <c r="C663" s="125"/>
      <c r="D663" s="125"/>
      <c r="E663" s="125"/>
      <c r="F663" s="125"/>
      <c r="G663" s="125"/>
      <c r="H663" s="125"/>
      <c r="I663" s="124" t="str">
        <f t="shared" si="4"/>
        <v/>
      </c>
      <c r="J663" s="119" t="s">
        <v>814</v>
      </c>
    </row>
    <row r="664">
      <c r="A664" s="125"/>
      <c r="B664" s="125"/>
      <c r="C664" s="125"/>
      <c r="D664" s="125"/>
      <c r="E664" s="125"/>
      <c r="F664" s="125"/>
      <c r="G664" s="125"/>
      <c r="H664" s="125"/>
      <c r="I664" s="124" t="str">
        <f t="shared" si="4"/>
        <v/>
      </c>
      <c r="J664" s="119" t="s">
        <v>814</v>
      </c>
    </row>
    <row r="665">
      <c r="A665" s="125"/>
      <c r="B665" s="125"/>
      <c r="C665" s="125"/>
      <c r="D665" s="125"/>
      <c r="E665" s="125"/>
      <c r="F665" s="125"/>
      <c r="G665" s="125"/>
      <c r="H665" s="125"/>
      <c r="I665" s="124" t="str">
        <f t="shared" si="4"/>
        <v/>
      </c>
      <c r="J665" s="119" t="s">
        <v>814</v>
      </c>
    </row>
    <row r="666">
      <c r="A666" s="125"/>
      <c r="B666" s="125"/>
      <c r="C666" s="125"/>
      <c r="D666" s="125"/>
      <c r="E666" s="125"/>
      <c r="F666" s="125"/>
      <c r="G666" s="125"/>
      <c r="H666" s="125"/>
      <c r="I666" s="124" t="str">
        <f t="shared" si="4"/>
        <v/>
      </c>
      <c r="J666" s="119" t="s">
        <v>814</v>
      </c>
    </row>
    <row r="667">
      <c r="A667" s="125"/>
      <c r="B667" s="125"/>
      <c r="C667" s="125"/>
      <c r="D667" s="125"/>
      <c r="E667" s="125"/>
      <c r="F667" s="125"/>
      <c r="G667" s="125"/>
      <c r="H667" s="125"/>
      <c r="I667" s="124" t="str">
        <f t="shared" si="4"/>
        <v/>
      </c>
      <c r="J667" s="119" t="s">
        <v>814</v>
      </c>
    </row>
    <row r="668">
      <c r="A668" s="125"/>
      <c r="B668" s="125"/>
      <c r="C668" s="125"/>
      <c r="D668" s="125"/>
      <c r="E668" s="125"/>
      <c r="F668" s="125"/>
      <c r="G668" s="125"/>
      <c r="H668" s="125"/>
      <c r="I668" s="124" t="str">
        <f t="shared" si="4"/>
        <v/>
      </c>
      <c r="J668" s="119" t="s">
        <v>814</v>
      </c>
    </row>
    <row r="669">
      <c r="A669" s="125"/>
      <c r="B669" s="125"/>
      <c r="C669" s="125"/>
      <c r="D669" s="125"/>
      <c r="E669" s="125"/>
      <c r="F669" s="125"/>
      <c r="G669" s="125"/>
      <c r="H669" s="125"/>
      <c r="I669" s="124" t="str">
        <f t="shared" si="4"/>
        <v/>
      </c>
      <c r="J669" s="119" t="s">
        <v>814</v>
      </c>
    </row>
    <row r="670">
      <c r="A670" s="125"/>
      <c r="B670" s="125"/>
      <c r="C670" s="125"/>
      <c r="D670" s="125"/>
      <c r="E670" s="125"/>
      <c r="F670" s="125"/>
      <c r="G670" s="125"/>
      <c r="H670" s="125"/>
      <c r="I670" s="124" t="str">
        <f t="shared" si="4"/>
        <v/>
      </c>
      <c r="J670" s="119" t="s">
        <v>814</v>
      </c>
    </row>
    <row r="671">
      <c r="A671" s="125"/>
      <c r="B671" s="125"/>
      <c r="C671" s="125"/>
      <c r="D671" s="125"/>
      <c r="E671" s="125"/>
      <c r="F671" s="125"/>
      <c r="G671" s="125"/>
      <c r="H671" s="125"/>
      <c r="I671" s="124" t="str">
        <f t="shared" si="4"/>
        <v/>
      </c>
      <c r="J671" s="119" t="s">
        <v>814</v>
      </c>
    </row>
    <row r="672">
      <c r="A672" s="125"/>
      <c r="B672" s="125"/>
      <c r="C672" s="125"/>
      <c r="D672" s="125"/>
      <c r="E672" s="125"/>
      <c r="F672" s="125"/>
      <c r="G672" s="125"/>
      <c r="H672" s="125"/>
      <c r="I672" s="124" t="str">
        <f t="shared" si="4"/>
        <v/>
      </c>
      <c r="J672" s="119" t="s">
        <v>814</v>
      </c>
    </row>
    <row r="673">
      <c r="A673" s="125"/>
      <c r="B673" s="125"/>
      <c r="C673" s="125"/>
      <c r="D673" s="125"/>
      <c r="E673" s="125"/>
      <c r="F673" s="125"/>
      <c r="G673" s="125"/>
      <c r="H673" s="125"/>
      <c r="I673" s="124" t="str">
        <f t="shared" si="4"/>
        <v/>
      </c>
      <c r="J673" s="119" t="s">
        <v>814</v>
      </c>
    </row>
    <row r="674">
      <c r="A674" s="125"/>
      <c r="B674" s="125"/>
      <c r="C674" s="125"/>
      <c r="D674" s="125"/>
      <c r="E674" s="125"/>
      <c r="F674" s="125"/>
      <c r="G674" s="125"/>
      <c r="H674" s="125"/>
      <c r="I674" s="124" t="str">
        <f t="shared" si="4"/>
        <v/>
      </c>
      <c r="J674" s="119" t="s">
        <v>814</v>
      </c>
    </row>
    <row r="675">
      <c r="A675" s="125"/>
      <c r="B675" s="125"/>
      <c r="C675" s="125"/>
      <c r="D675" s="125"/>
      <c r="E675" s="125"/>
      <c r="F675" s="125"/>
      <c r="G675" s="125"/>
      <c r="H675" s="125"/>
      <c r="I675" s="124" t="str">
        <f t="shared" si="4"/>
        <v/>
      </c>
      <c r="J675" s="119" t="s">
        <v>814</v>
      </c>
    </row>
    <row r="676">
      <c r="A676" s="125"/>
      <c r="B676" s="125"/>
      <c r="C676" s="125"/>
      <c r="D676" s="125"/>
      <c r="E676" s="125"/>
      <c r="F676" s="125"/>
      <c r="G676" s="125"/>
      <c r="H676" s="125"/>
      <c r="I676" s="124" t="str">
        <f t="shared" si="4"/>
        <v/>
      </c>
      <c r="J676" s="119" t="s">
        <v>814</v>
      </c>
    </row>
    <row r="677">
      <c r="A677" s="125"/>
      <c r="B677" s="125"/>
      <c r="C677" s="125"/>
      <c r="D677" s="125"/>
      <c r="E677" s="125"/>
      <c r="F677" s="125"/>
      <c r="G677" s="125"/>
      <c r="H677" s="125"/>
      <c r="I677" s="124" t="str">
        <f t="shared" si="4"/>
        <v/>
      </c>
      <c r="J677" s="119" t="s">
        <v>814</v>
      </c>
    </row>
    <row r="678">
      <c r="A678" s="125"/>
      <c r="B678" s="125"/>
      <c r="C678" s="125"/>
      <c r="D678" s="125"/>
      <c r="E678" s="125"/>
      <c r="F678" s="125"/>
      <c r="G678" s="125"/>
      <c r="H678" s="125"/>
      <c r="I678" s="124" t="str">
        <f t="shared" si="4"/>
        <v/>
      </c>
      <c r="J678" s="119" t="s">
        <v>814</v>
      </c>
    </row>
    <row r="679">
      <c r="A679" s="125"/>
      <c r="B679" s="125"/>
      <c r="C679" s="125"/>
      <c r="D679" s="125"/>
      <c r="E679" s="125"/>
      <c r="F679" s="125"/>
      <c r="G679" s="125"/>
      <c r="H679" s="125"/>
      <c r="I679" s="124" t="str">
        <f t="shared" si="4"/>
        <v/>
      </c>
      <c r="J679" s="119" t="s">
        <v>814</v>
      </c>
    </row>
    <row r="680">
      <c r="A680" s="125"/>
      <c r="B680" s="125"/>
      <c r="C680" s="125"/>
      <c r="D680" s="125"/>
      <c r="E680" s="125"/>
      <c r="F680" s="125"/>
      <c r="G680" s="125"/>
      <c r="H680" s="125"/>
      <c r="I680" s="124" t="str">
        <f t="shared" si="4"/>
        <v/>
      </c>
      <c r="J680" s="119" t="s">
        <v>814</v>
      </c>
    </row>
    <row r="681">
      <c r="A681" s="125"/>
      <c r="B681" s="125"/>
      <c r="C681" s="125"/>
      <c r="D681" s="125"/>
      <c r="E681" s="125"/>
      <c r="F681" s="125"/>
      <c r="G681" s="125"/>
      <c r="H681" s="125"/>
      <c r="I681" s="124" t="str">
        <f t="shared" si="4"/>
        <v/>
      </c>
      <c r="J681" s="119" t="s">
        <v>814</v>
      </c>
    </row>
    <row r="682">
      <c r="A682" s="125"/>
      <c r="B682" s="125"/>
      <c r="C682" s="125"/>
      <c r="D682" s="125"/>
      <c r="E682" s="125"/>
      <c r="F682" s="125"/>
      <c r="G682" s="125"/>
      <c r="H682" s="125"/>
      <c r="I682" s="124" t="str">
        <f t="shared" si="4"/>
        <v/>
      </c>
      <c r="J682" s="119" t="s">
        <v>814</v>
      </c>
    </row>
    <row r="683">
      <c r="A683" s="125"/>
      <c r="B683" s="125"/>
      <c r="C683" s="125"/>
      <c r="D683" s="125"/>
      <c r="E683" s="125"/>
      <c r="F683" s="125"/>
      <c r="G683" s="125"/>
      <c r="H683" s="125"/>
      <c r="I683" s="124" t="str">
        <f t="shared" si="4"/>
        <v/>
      </c>
      <c r="J683" s="119" t="s">
        <v>814</v>
      </c>
    </row>
    <row r="684">
      <c r="A684" s="125"/>
      <c r="B684" s="125"/>
      <c r="C684" s="125"/>
      <c r="D684" s="125"/>
      <c r="E684" s="125"/>
      <c r="F684" s="125"/>
      <c r="G684" s="125"/>
      <c r="H684" s="125"/>
      <c r="I684" s="124" t="str">
        <f t="shared" si="4"/>
        <v/>
      </c>
      <c r="J684" s="119" t="s">
        <v>814</v>
      </c>
    </row>
    <row r="685">
      <c r="A685" s="125"/>
      <c r="B685" s="125"/>
      <c r="C685" s="125"/>
      <c r="D685" s="125"/>
      <c r="E685" s="125"/>
      <c r="F685" s="125"/>
      <c r="G685" s="125"/>
      <c r="H685" s="125"/>
      <c r="I685" s="124" t="str">
        <f t="shared" si="4"/>
        <v/>
      </c>
      <c r="J685" s="119" t="s">
        <v>814</v>
      </c>
    </row>
    <row r="686">
      <c r="A686" s="125"/>
      <c r="B686" s="125"/>
      <c r="C686" s="125"/>
      <c r="D686" s="125"/>
      <c r="E686" s="125"/>
      <c r="F686" s="125"/>
      <c r="G686" s="125"/>
      <c r="H686" s="125"/>
      <c r="I686" s="124" t="str">
        <f t="shared" si="4"/>
        <v/>
      </c>
      <c r="J686" s="119" t="s">
        <v>814</v>
      </c>
    </row>
    <row r="687">
      <c r="A687" s="125"/>
      <c r="B687" s="125"/>
      <c r="C687" s="125"/>
      <c r="D687" s="125"/>
      <c r="E687" s="125"/>
      <c r="F687" s="125"/>
      <c r="G687" s="125"/>
      <c r="H687" s="125"/>
      <c r="I687" s="124" t="str">
        <f t="shared" si="4"/>
        <v/>
      </c>
      <c r="J687" s="119" t="s">
        <v>814</v>
      </c>
    </row>
    <row r="688">
      <c r="A688" s="125"/>
      <c r="B688" s="125"/>
      <c r="C688" s="125"/>
      <c r="D688" s="125"/>
      <c r="E688" s="125"/>
      <c r="F688" s="125"/>
      <c r="G688" s="125"/>
      <c r="H688" s="125"/>
      <c r="I688" s="124" t="str">
        <f t="shared" si="4"/>
        <v/>
      </c>
      <c r="J688" s="119" t="s">
        <v>814</v>
      </c>
    </row>
    <row r="689">
      <c r="A689" s="125"/>
      <c r="B689" s="125"/>
      <c r="C689" s="125"/>
      <c r="D689" s="125"/>
      <c r="E689" s="125"/>
      <c r="F689" s="125"/>
      <c r="G689" s="125"/>
      <c r="H689" s="125"/>
      <c r="I689" s="124" t="str">
        <f t="shared" si="4"/>
        <v/>
      </c>
      <c r="J689" s="119" t="s">
        <v>814</v>
      </c>
    </row>
    <row r="690">
      <c r="A690" s="125"/>
      <c r="B690" s="125"/>
      <c r="C690" s="125"/>
      <c r="D690" s="125"/>
      <c r="E690" s="125"/>
      <c r="F690" s="125"/>
      <c r="G690" s="125"/>
      <c r="H690" s="125"/>
      <c r="I690" s="124" t="str">
        <f t="shared" si="4"/>
        <v/>
      </c>
      <c r="J690" s="119" t="s">
        <v>814</v>
      </c>
    </row>
    <row r="691">
      <c r="A691" s="125"/>
      <c r="B691" s="125"/>
      <c r="C691" s="125"/>
      <c r="D691" s="125"/>
      <c r="E691" s="125"/>
      <c r="F691" s="125"/>
      <c r="G691" s="125"/>
      <c r="H691" s="125"/>
      <c r="I691" s="124" t="str">
        <f t="shared" si="4"/>
        <v/>
      </c>
      <c r="J691" s="119" t="s">
        <v>814</v>
      </c>
    </row>
    <row r="692">
      <c r="A692" s="125"/>
      <c r="B692" s="125"/>
      <c r="C692" s="125"/>
      <c r="D692" s="125"/>
      <c r="E692" s="125"/>
      <c r="F692" s="125"/>
      <c r="G692" s="125"/>
      <c r="H692" s="125"/>
      <c r="I692" s="124" t="str">
        <f t="shared" si="4"/>
        <v/>
      </c>
      <c r="J692" s="119" t="s">
        <v>814</v>
      </c>
    </row>
    <row r="693">
      <c r="A693" s="125"/>
      <c r="B693" s="125"/>
      <c r="C693" s="125"/>
      <c r="D693" s="125"/>
      <c r="E693" s="125"/>
      <c r="F693" s="125"/>
      <c r="G693" s="125"/>
      <c r="H693" s="125"/>
      <c r="I693" s="124" t="str">
        <f t="shared" si="4"/>
        <v/>
      </c>
      <c r="J693" s="119" t="s">
        <v>814</v>
      </c>
    </row>
    <row r="694">
      <c r="A694" s="125"/>
      <c r="B694" s="125"/>
      <c r="C694" s="125"/>
      <c r="D694" s="125"/>
      <c r="E694" s="125"/>
      <c r="F694" s="125"/>
      <c r="G694" s="125"/>
      <c r="H694" s="125"/>
      <c r="I694" s="124" t="str">
        <f t="shared" si="4"/>
        <v/>
      </c>
      <c r="J694" s="119" t="s">
        <v>814</v>
      </c>
    </row>
    <row r="695">
      <c r="A695" s="125"/>
      <c r="B695" s="125"/>
      <c r="C695" s="125"/>
      <c r="D695" s="125"/>
      <c r="E695" s="125"/>
      <c r="F695" s="125"/>
      <c r="G695" s="125"/>
      <c r="H695" s="125"/>
      <c r="I695" s="124" t="str">
        <f t="shared" si="4"/>
        <v/>
      </c>
      <c r="J695" s="119" t="s">
        <v>814</v>
      </c>
    </row>
    <row r="696">
      <c r="A696" s="125"/>
      <c r="B696" s="125"/>
      <c r="C696" s="125"/>
      <c r="D696" s="125"/>
      <c r="E696" s="125"/>
      <c r="F696" s="125"/>
      <c r="G696" s="125"/>
      <c r="H696" s="125"/>
      <c r="I696" s="124" t="str">
        <f t="shared" si="4"/>
        <v/>
      </c>
      <c r="J696" s="119" t="s">
        <v>814</v>
      </c>
    </row>
    <row r="697">
      <c r="A697" s="125"/>
      <c r="B697" s="125"/>
      <c r="C697" s="125"/>
      <c r="D697" s="125"/>
      <c r="E697" s="125"/>
      <c r="F697" s="125"/>
      <c r="G697" s="125"/>
      <c r="H697" s="125"/>
      <c r="I697" s="124" t="str">
        <f t="shared" si="4"/>
        <v/>
      </c>
      <c r="J697" s="119" t="s">
        <v>814</v>
      </c>
    </row>
    <row r="698">
      <c r="A698" s="125"/>
      <c r="B698" s="125"/>
      <c r="C698" s="125"/>
      <c r="D698" s="125"/>
      <c r="E698" s="125"/>
      <c r="F698" s="125"/>
      <c r="G698" s="125"/>
      <c r="H698" s="125"/>
      <c r="I698" s="124" t="str">
        <f t="shared" si="4"/>
        <v/>
      </c>
      <c r="J698" s="119" t="s">
        <v>814</v>
      </c>
    </row>
    <row r="699">
      <c r="A699" s="125"/>
      <c r="B699" s="125"/>
      <c r="C699" s="125"/>
      <c r="D699" s="125"/>
      <c r="E699" s="125"/>
      <c r="F699" s="125"/>
      <c r="G699" s="125"/>
      <c r="H699" s="125"/>
      <c r="I699" s="124" t="str">
        <f t="shared" si="4"/>
        <v/>
      </c>
      <c r="J699" s="119" t="s">
        <v>814</v>
      </c>
    </row>
    <row r="700">
      <c r="A700" s="125"/>
      <c r="B700" s="125"/>
      <c r="C700" s="125"/>
      <c r="D700" s="125"/>
      <c r="E700" s="125"/>
      <c r="F700" s="125"/>
      <c r="G700" s="125"/>
      <c r="H700" s="125"/>
      <c r="I700" s="124" t="str">
        <f t="shared" si="4"/>
        <v/>
      </c>
      <c r="J700" s="119" t="s">
        <v>814</v>
      </c>
    </row>
    <row r="701">
      <c r="A701" s="125"/>
      <c r="B701" s="125"/>
      <c r="C701" s="125"/>
      <c r="D701" s="125"/>
      <c r="E701" s="125"/>
      <c r="F701" s="125"/>
      <c r="G701" s="125"/>
      <c r="H701" s="125"/>
      <c r="I701" s="124" t="str">
        <f t="shared" si="4"/>
        <v/>
      </c>
      <c r="J701" s="119" t="s">
        <v>814</v>
      </c>
    </row>
    <row r="702">
      <c r="A702" s="125"/>
      <c r="B702" s="125"/>
      <c r="C702" s="125"/>
      <c r="D702" s="125"/>
      <c r="E702" s="125"/>
      <c r="F702" s="125"/>
      <c r="G702" s="125"/>
      <c r="H702" s="125"/>
      <c r="I702" s="124" t="str">
        <f t="shared" si="4"/>
        <v/>
      </c>
      <c r="J702" s="119" t="s">
        <v>814</v>
      </c>
    </row>
    <row r="703">
      <c r="A703" s="125"/>
      <c r="B703" s="125"/>
      <c r="C703" s="125"/>
      <c r="D703" s="125"/>
      <c r="E703" s="125"/>
      <c r="F703" s="125"/>
      <c r="G703" s="125"/>
      <c r="H703" s="125"/>
      <c r="I703" s="124" t="str">
        <f t="shared" si="4"/>
        <v/>
      </c>
      <c r="J703" s="119" t="s">
        <v>814</v>
      </c>
    </row>
    <row r="704">
      <c r="A704" s="125"/>
      <c r="B704" s="125"/>
      <c r="C704" s="125"/>
      <c r="D704" s="125"/>
      <c r="E704" s="125"/>
      <c r="F704" s="125"/>
      <c r="G704" s="125"/>
      <c r="H704" s="125"/>
      <c r="I704" s="124" t="str">
        <f t="shared" si="4"/>
        <v/>
      </c>
      <c r="J704" s="119" t="s">
        <v>814</v>
      </c>
    </row>
    <row r="705">
      <c r="A705" s="125"/>
      <c r="B705" s="125"/>
      <c r="C705" s="125"/>
      <c r="D705" s="125"/>
      <c r="E705" s="125"/>
      <c r="F705" s="125"/>
      <c r="G705" s="125"/>
      <c r="H705" s="125"/>
      <c r="I705" s="124" t="str">
        <f t="shared" si="4"/>
        <v/>
      </c>
      <c r="J705" s="119" t="s">
        <v>814</v>
      </c>
    </row>
    <row r="706">
      <c r="A706" s="125"/>
      <c r="B706" s="125"/>
      <c r="C706" s="125"/>
      <c r="D706" s="125"/>
      <c r="E706" s="125"/>
      <c r="F706" s="125"/>
      <c r="G706" s="125"/>
      <c r="H706" s="125"/>
      <c r="I706" s="124" t="str">
        <f t="shared" si="4"/>
        <v/>
      </c>
      <c r="J706" s="119" t="s">
        <v>814</v>
      </c>
    </row>
    <row r="707">
      <c r="A707" s="125"/>
      <c r="B707" s="125"/>
      <c r="C707" s="125"/>
      <c r="D707" s="125"/>
      <c r="E707" s="125"/>
      <c r="F707" s="125"/>
      <c r="G707" s="125"/>
      <c r="H707" s="125"/>
      <c r="I707" s="124" t="str">
        <f t="shared" si="4"/>
        <v/>
      </c>
      <c r="J707" s="119" t="s">
        <v>814</v>
      </c>
    </row>
    <row r="708">
      <c r="A708" s="125"/>
      <c r="B708" s="125"/>
      <c r="C708" s="125"/>
      <c r="D708" s="125"/>
      <c r="E708" s="125"/>
      <c r="F708" s="125"/>
      <c r="G708" s="125"/>
      <c r="H708" s="125"/>
      <c r="I708" s="124" t="str">
        <f t="shared" si="4"/>
        <v/>
      </c>
      <c r="J708" s="119" t="s">
        <v>814</v>
      </c>
    </row>
    <row r="709">
      <c r="A709" s="125"/>
      <c r="B709" s="125"/>
      <c r="C709" s="125"/>
      <c r="D709" s="125"/>
      <c r="E709" s="125"/>
      <c r="F709" s="125"/>
      <c r="G709" s="125"/>
      <c r="H709" s="125"/>
      <c r="I709" s="124" t="str">
        <f t="shared" si="4"/>
        <v/>
      </c>
      <c r="J709" s="119" t="s">
        <v>814</v>
      </c>
    </row>
    <row r="710">
      <c r="A710" s="125"/>
      <c r="B710" s="125"/>
      <c r="C710" s="125"/>
      <c r="D710" s="125"/>
      <c r="E710" s="125"/>
      <c r="F710" s="125"/>
      <c r="G710" s="125"/>
      <c r="H710" s="125"/>
      <c r="I710" s="124" t="str">
        <f t="shared" si="4"/>
        <v/>
      </c>
      <c r="J710" s="119" t="s">
        <v>814</v>
      </c>
    </row>
    <row r="711">
      <c r="A711" s="125"/>
      <c r="B711" s="125"/>
      <c r="C711" s="125"/>
      <c r="D711" s="125"/>
      <c r="E711" s="125"/>
      <c r="F711" s="125"/>
      <c r="G711" s="125"/>
      <c r="H711" s="125"/>
      <c r="I711" s="124" t="str">
        <f t="shared" si="4"/>
        <v/>
      </c>
      <c r="J711" s="119" t="s">
        <v>814</v>
      </c>
    </row>
    <row r="712">
      <c r="A712" s="125"/>
      <c r="B712" s="125"/>
      <c r="C712" s="125"/>
      <c r="D712" s="125"/>
      <c r="E712" s="125"/>
      <c r="F712" s="125"/>
      <c r="G712" s="125"/>
      <c r="H712" s="125"/>
      <c r="I712" s="124" t="str">
        <f t="shared" si="4"/>
        <v/>
      </c>
      <c r="J712" s="119" t="s">
        <v>814</v>
      </c>
    </row>
    <row r="713">
      <c r="A713" s="125"/>
      <c r="B713" s="125"/>
      <c r="C713" s="125"/>
      <c r="D713" s="125"/>
      <c r="E713" s="125"/>
      <c r="F713" s="125"/>
      <c r="G713" s="125"/>
      <c r="H713" s="125"/>
      <c r="I713" s="124" t="str">
        <f t="shared" si="4"/>
        <v/>
      </c>
      <c r="J713" s="119" t="s">
        <v>814</v>
      </c>
    </row>
    <row r="714">
      <c r="A714" s="125"/>
      <c r="B714" s="125"/>
      <c r="C714" s="125"/>
      <c r="D714" s="125"/>
      <c r="E714" s="125"/>
      <c r="F714" s="125"/>
      <c r="G714" s="125"/>
      <c r="H714" s="125"/>
      <c r="I714" s="124" t="str">
        <f t="shared" si="4"/>
        <v/>
      </c>
      <c r="J714" s="119" t="s">
        <v>814</v>
      </c>
    </row>
    <row r="715">
      <c r="A715" s="125"/>
      <c r="B715" s="125"/>
      <c r="C715" s="125"/>
      <c r="D715" s="125"/>
      <c r="E715" s="125"/>
      <c r="F715" s="125"/>
      <c r="G715" s="125"/>
      <c r="H715" s="125"/>
      <c r="I715" s="124" t="str">
        <f t="shared" si="4"/>
        <v/>
      </c>
      <c r="J715" s="119" t="s">
        <v>814</v>
      </c>
    </row>
    <row r="716">
      <c r="A716" s="125"/>
      <c r="B716" s="125"/>
      <c r="C716" s="125"/>
      <c r="D716" s="125"/>
      <c r="E716" s="125"/>
      <c r="F716" s="125"/>
      <c r="G716" s="125"/>
      <c r="H716" s="125"/>
      <c r="I716" s="124" t="str">
        <f t="shared" si="4"/>
        <v/>
      </c>
      <c r="J716" s="119" t="s">
        <v>814</v>
      </c>
    </row>
    <row r="717">
      <c r="A717" s="125"/>
      <c r="B717" s="125"/>
      <c r="C717" s="125"/>
      <c r="D717" s="125"/>
      <c r="E717" s="125"/>
      <c r="F717" s="125"/>
      <c r="G717" s="125"/>
      <c r="H717" s="125"/>
      <c r="I717" s="124" t="str">
        <f t="shared" si="4"/>
        <v/>
      </c>
      <c r="J717" s="119" t="s">
        <v>814</v>
      </c>
    </row>
    <row r="718">
      <c r="A718" s="125"/>
      <c r="B718" s="125"/>
      <c r="C718" s="125"/>
      <c r="D718" s="125"/>
      <c r="E718" s="125"/>
      <c r="F718" s="125"/>
      <c r="G718" s="125"/>
      <c r="H718" s="125"/>
      <c r="I718" s="124" t="str">
        <f t="shared" si="4"/>
        <v/>
      </c>
      <c r="J718" s="119" t="s">
        <v>814</v>
      </c>
    </row>
    <row r="719">
      <c r="A719" s="125"/>
      <c r="B719" s="125"/>
      <c r="C719" s="125"/>
      <c r="D719" s="125"/>
      <c r="E719" s="125"/>
      <c r="F719" s="125"/>
      <c r="G719" s="125"/>
      <c r="H719" s="125"/>
      <c r="I719" s="124" t="str">
        <f t="shared" si="4"/>
        <v/>
      </c>
      <c r="J719" s="119" t="s">
        <v>814</v>
      </c>
    </row>
    <row r="720">
      <c r="A720" s="125"/>
      <c r="B720" s="125"/>
      <c r="C720" s="125"/>
      <c r="D720" s="125"/>
      <c r="E720" s="125"/>
      <c r="F720" s="125"/>
      <c r="G720" s="125"/>
      <c r="H720" s="125"/>
      <c r="I720" s="124" t="str">
        <f t="shared" si="4"/>
        <v/>
      </c>
      <c r="J720" s="119" t="s">
        <v>814</v>
      </c>
    </row>
    <row r="721">
      <c r="A721" s="125"/>
      <c r="B721" s="125"/>
      <c r="C721" s="125"/>
      <c r="D721" s="125"/>
      <c r="E721" s="125"/>
      <c r="F721" s="125"/>
      <c r="G721" s="125"/>
      <c r="H721" s="125"/>
      <c r="I721" s="124" t="str">
        <f t="shared" si="4"/>
        <v/>
      </c>
      <c r="J721" s="119" t="s">
        <v>814</v>
      </c>
    </row>
    <row r="722">
      <c r="A722" s="125"/>
      <c r="B722" s="125"/>
      <c r="C722" s="125"/>
      <c r="D722" s="125"/>
      <c r="E722" s="125"/>
      <c r="F722" s="125"/>
      <c r="G722" s="125"/>
      <c r="H722" s="125"/>
      <c r="I722" s="124" t="str">
        <f t="shared" si="4"/>
        <v/>
      </c>
      <c r="J722" s="119" t="s">
        <v>814</v>
      </c>
    </row>
    <row r="723">
      <c r="A723" s="125"/>
      <c r="B723" s="125"/>
      <c r="C723" s="125"/>
      <c r="D723" s="125"/>
      <c r="E723" s="125"/>
      <c r="F723" s="125"/>
      <c r="G723" s="125"/>
      <c r="H723" s="125"/>
      <c r="I723" s="124" t="str">
        <f t="shared" si="4"/>
        <v/>
      </c>
      <c r="J723" s="119" t="s">
        <v>814</v>
      </c>
    </row>
    <row r="724">
      <c r="A724" s="125"/>
      <c r="B724" s="125"/>
      <c r="C724" s="125"/>
      <c r="D724" s="125"/>
      <c r="E724" s="125"/>
      <c r="F724" s="125"/>
      <c r="G724" s="125"/>
      <c r="H724" s="125"/>
      <c r="I724" s="124" t="str">
        <f t="shared" si="4"/>
        <v/>
      </c>
      <c r="J724" s="119" t="s">
        <v>814</v>
      </c>
    </row>
    <row r="725">
      <c r="A725" s="125"/>
      <c r="B725" s="125"/>
      <c r="C725" s="125"/>
      <c r="D725" s="125"/>
      <c r="E725" s="125"/>
      <c r="F725" s="125"/>
      <c r="G725" s="125"/>
      <c r="H725" s="125"/>
      <c r="I725" s="124" t="str">
        <f t="shared" si="4"/>
        <v/>
      </c>
      <c r="J725" s="119" t="s">
        <v>814</v>
      </c>
    </row>
    <row r="726">
      <c r="A726" s="125"/>
      <c r="B726" s="125"/>
      <c r="C726" s="125"/>
      <c r="D726" s="125"/>
      <c r="E726" s="125"/>
      <c r="F726" s="125"/>
      <c r="G726" s="125"/>
      <c r="H726" s="125"/>
      <c r="I726" s="124" t="str">
        <f t="shared" si="4"/>
        <v/>
      </c>
      <c r="J726" s="119" t="s">
        <v>814</v>
      </c>
    </row>
    <row r="727">
      <c r="A727" s="125"/>
      <c r="B727" s="125"/>
      <c r="C727" s="125"/>
      <c r="D727" s="125"/>
      <c r="E727" s="125"/>
      <c r="F727" s="125"/>
      <c r="G727" s="125"/>
      <c r="H727" s="125"/>
      <c r="I727" s="124" t="str">
        <f t="shared" si="4"/>
        <v/>
      </c>
      <c r="J727" s="119" t="s">
        <v>814</v>
      </c>
    </row>
    <row r="728">
      <c r="A728" s="125"/>
      <c r="B728" s="125"/>
      <c r="C728" s="125"/>
      <c r="D728" s="125"/>
      <c r="E728" s="125"/>
      <c r="F728" s="125"/>
      <c r="G728" s="125"/>
      <c r="H728" s="125"/>
      <c r="I728" s="124" t="str">
        <f t="shared" si="4"/>
        <v/>
      </c>
      <c r="J728" s="119" t="s">
        <v>814</v>
      </c>
    </row>
    <row r="729">
      <c r="A729" s="125"/>
      <c r="B729" s="125"/>
      <c r="C729" s="125"/>
      <c r="D729" s="125"/>
      <c r="E729" s="125"/>
      <c r="F729" s="125"/>
      <c r="G729" s="125"/>
      <c r="H729" s="125"/>
      <c r="I729" s="124" t="str">
        <f t="shared" si="4"/>
        <v/>
      </c>
      <c r="J729" s="119" t="s">
        <v>814</v>
      </c>
    </row>
    <row r="730">
      <c r="A730" s="125"/>
      <c r="B730" s="125"/>
      <c r="C730" s="125"/>
      <c r="D730" s="125"/>
      <c r="E730" s="125"/>
      <c r="F730" s="125"/>
      <c r="G730" s="125"/>
      <c r="H730" s="125"/>
      <c r="I730" s="124" t="str">
        <f t="shared" si="4"/>
        <v/>
      </c>
      <c r="J730" s="119" t="s">
        <v>814</v>
      </c>
    </row>
    <row r="731">
      <c r="A731" s="125"/>
      <c r="B731" s="125"/>
      <c r="C731" s="125"/>
      <c r="D731" s="125"/>
      <c r="E731" s="125"/>
      <c r="F731" s="125"/>
      <c r="G731" s="125"/>
      <c r="H731" s="125"/>
      <c r="I731" s="124" t="str">
        <f t="shared" si="4"/>
        <v/>
      </c>
      <c r="J731" s="119" t="s">
        <v>814</v>
      </c>
    </row>
    <row r="732">
      <c r="A732" s="125"/>
      <c r="B732" s="125"/>
      <c r="C732" s="125"/>
      <c r="D732" s="125"/>
      <c r="E732" s="125"/>
      <c r="F732" s="125"/>
      <c r="G732" s="125"/>
      <c r="H732" s="125"/>
      <c r="I732" s="124" t="str">
        <f t="shared" si="4"/>
        <v/>
      </c>
      <c r="J732" s="119" t="s">
        <v>814</v>
      </c>
    </row>
    <row r="733">
      <c r="A733" s="125"/>
      <c r="B733" s="125"/>
      <c r="C733" s="125"/>
      <c r="D733" s="125"/>
      <c r="E733" s="125"/>
      <c r="F733" s="125"/>
      <c r="G733" s="125"/>
      <c r="H733" s="125"/>
      <c r="I733" s="124" t="str">
        <f t="shared" si="4"/>
        <v/>
      </c>
      <c r="J733" s="119" t="s">
        <v>814</v>
      </c>
    </row>
    <row r="734">
      <c r="A734" s="125"/>
      <c r="B734" s="125"/>
      <c r="C734" s="125"/>
      <c r="D734" s="125"/>
      <c r="E734" s="125"/>
      <c r="F734" s="125"/>
      <c r="G734" s="125"/>
      <c r="H734" s="125"/>
      <c r="I734" s="124" t="str">
        <f t="shared" si="4"/>
        <v/>
      </c>
      <c r="J734" s="119" t="s">
        <v>814</v>
      </c>
    </row>
    <row r="735">
      <c r="A735" s="125"/>
      <c r="B735" s="125"/>
      <c r="C735" s="125"/>
      <c r="D735" s="125"/>
      <c r="E735" s="125"/>
      <c r="F735" s="125"/>
      <c r="G735" s="125"/>
      <c r="H735" s="125"/>
      <c r="I735" s="124" t="str">
        <f t="shared" si="4"/>
        <v/>
      </c>
      <c r="J735" s="119" t="s">
        <v>814</v>
      </c>
    </row>
    <row r="736">
      <c r="A736" s="125"/>
      <c r="B736" s="125"/>
      <c r="C736" s="125"/>
      <c r="D736" s="125"/>
      <c r="E736" s="125"/>
      <c r="F736" s="125"/>
      <c r="G736" s="125"/>
      <c r="H736" s="125"/>
      <c r="I736" s="124" t="str">
        <f t="shared" si="4"/>
        <v/>
      </c>
      <c r="J736" s="119" t="s">
        <v>814</v>
      </c>
    </row>
    <row r="737">
      <c r="A737" s="125"/>
      <c r="B737" s="125"/>
      <c r="C737" s="125"/>
      <c r="D737" s="125"/>
      <c r="E737" s="125"/>
      <c r="F737" s="125"/>
      <c r="G737" s="125"/>
      <c r="H737" s="125"/>
      <c r="I737" s="124" t="str">
        <f t="shared" si="4"/>
        <v/>
      </c>
      <c r="J737" s="119" t="s">
        <v>814</v>
      </c>
    </row>
    <row r="738">
      <c r="A738" s="125"/>
      <c r="B738" s="125"/>
      <c r="C738" s="125"/>
      <c r="D738" s="125"/>
      <c r="E738" s="125"/>
      <c r="F738" s="125"/>
      <c r="G738" s="125"/>
      <c r="H738" s="125"/>
      <c r="I738" s="124" t="str">
        <f t="shared" si="4"/>
        <v/>
      </c>
      <c r="J738" s="119" t="s">
        <v>814</v>
      </c>
    </row>
    <row r="739">
      <c r="A739" s="125"/>
      <c r="B739" s="125"/>
      <c r="C739" s="125"/>
      <c r="D739" s="125"/>
      <c r="E739" s="125"/>
      <c r="F739" s="125"/>
      <c r="G739" s="125"/>
      <c r="H739" s="125"/>
      <c r="I739" s="124" t="str">
        <f t="shared" si="4"/>
        <v/>
      </c>
      <c r="J739" s="119" t="s">
        <v>814</v>
      </c>
    </row>
    <row r="740">
      <c r="A740" s="125"/>
      <c r="B740" s="125"/>
      <c r="C740" s="125"/>
      <c r="D740" s="125"/>
      <c r="E740" s="125"/>
      <c r="F740" s="125"/>
      <c r="G740" s="125"/>
      <c r="H740" s="125"/>
      <c r="I740" s="124" t="str">
        <f t="shared" si="4"/>
        <v/>
      </c>
      <c r="J740" s="119" t="s">
        <v>814</v>
      </c>
    </row>
    <row r="741">
      <c r="A741" s="125"/>
      <c r="B741" s="125"/>
      <c r="C741" s="125"/>
      <c r="D741" s="125"/>
      <c r="E741" s="125"/>
      <c r="F741" s="125"/>
      <c r="G741" s="125"/>
      <c r="H741" s="125"/>
      <c r="I741" s="124" t="str">
        <f t="shared" si="4"/>
        <v/>
      </c>
      <c r="J741" s="119" t="s">
        <v>814</v>
      </c>
    </row>
    <row r="742">
      <c r="A742" s="125"/>
      <c r="B742" s="125"/>
      <c r="C742" s="125"/>
      <c r="D742" s="125"/>
      <c r="E742" s="125"/>
      <c r="F742" s="125"/>
      <c r="G742" s="125"/>
      <c r="H742" s="125"/>
      <c r="I742" s="124" t="str">
        <f t="shared" si="4"/>
        <v/>
      </c>
      <c r="J742" s="119" t="s">
        <v>814</v>
      </c>
    </row>
    <row r="743">
      <c r="A743" s="125"/>
      <c r="B743" s="125"/>
      <c r="C743" s="125"/>
      <c r="D743" s="125"/>
      <c r="E743" s="125"/>
      <c r="F743" s="125"/>
      <c r="G743" s="125"/>
      <c r="H743" s="125"/>
      <c r="I743" s="124" t="str">
        <f t="shared" si="4"/>
        <v/>
      </c>
      <c r="J743" s="119" t="s">
        <v>814</v>
      </c>
    </row>
    <row r="744">
      <c r="A744" s="125"/>
      <c r="B744" s="125"/>
      <c r="C744" s="125"/>
      <c r="D744" s="125"/>
      <c r="E744" s="125"/>
      <c r="F744" s="125"/>
      <c r="G744" s="125"/>
      <c r="H744" s="125"/>
      <c r="I744" s="124" t="str">
        <f t="shared" si="4"/>
        <v/>
      </c>
      <c r="J744" s="119" t="s">
        <v>814</v>
      </c>
    </row>
    <row r="745">
      <c r="A745" s="125"/>
      <c r="B745" s="125"/>
      <c r="C745" s="125"/>
      <c r="D745" s="125"/>
      <c r="E745" s="125"/>
      <c r="F745" s="125"/>
      <c r="G745" s="125"/>
      <c r="H745" s="125"/>
      <c r="I745" s="124" t="str">
        <f t="shared" si="4"/>
        <v/>
      </c>
      <c r="J745" s="119" t="s">
        <v>814</v>
      </c>
    </row>
    <row r="746">
      <c r="A746" s="125"/>
      <c r="B746" s="125"/>
      <c r="C746" s="125"/>
      <c r="D746" s="125"/>
      <c r="E746" s="125"/>
      <c r="F746" s="125"/>
      <c r="G746" s="125"/>
      <c r="H746" s="125"/>
      <c r="I746" s="124" t="str">
        <f t="shared" si="4"/>
        <v/>
      </c>
      <c r="J746" s="119" t="s">
        <v>814</v>
      </c>
    </row>
    <row r="747">
      <c r="A747" s="125"/>
      <c r="B747" s="125"/>
      <c r="C747" s="125"/>
      <c r="D747" s="125"/>
      <c r="E747" s="125"/>
      <c r="F747" s="125"/>
      <c r="G747" s="125"/>
      <c r="H747" s="125"/>
      <c r="I747" s="124" t="str">
        <f t="shared" si="4"/>
        <v/>
      </c>
      <c r="J747" s="119" t="s">
        <v>814</v>
      </c>
    </row>
    <row r="748">
      <c r="A748" s="125"/>
      <c r="B748" s="125"/>
      <c r="C748" s="125"/>
      <c r="D748" s="125"/>
      <c r="E748" s="125"/>
      <c r="F748" s="125"/>
      <c r="G748" s="125"/>
      <c r="H748" s="125"/>
      <c r="I748" s="124" t="str">
        <f t="shared" si="4"/>
        <v/>
      </c>
      <c r="J748" s="119" t="s">
        <v>814</v>
      </c>
    </row>
    <row r="749">
      <c r="A749" s="125"/>
      <c r="B749" s="125"/>
      <c r="C749" s="125"/>
      <c r="D749" s="125"/>
      <c r="E749" s="125"/>
      <c r="F749" s="125"/>
      <c r="G749" s="125"/>
      <c r="H749" s="125"/>
      <c r="I749" s="124" t="str">
        <f t="shared" si="4"/>
        <v/>
      </c>
      <c r="J749" s="119" t="s">
        <v>814</v>
      </c>
    </row>
    <row r="750">
      <c r="A750" s="125"/>
      <c r="B750" s="125"/>
      <c r="C750" s="125"/>
      <c r="D750" s="125"/>
      <c r="E750" s="125"/>
      <c r="F750" s="125"/>
      <c r="G750" s="125"/>
      <c r="H750" s="125"/>
      <c r="I750" s="124" t="str">
        <f t="shared" si="4"/>
        <v/>
      </c>
      <c r="J750" s="119" t="s">
        <v>814</v>
      </c>
    </row>
    <row r="751">
      <c r="A751" s="125"/>
      <c r="B751" s="125"/>
      <c r="C751" s="125"/>
      <c r="D751" s="125"/>
      <c r="E751" s="125"/>
      <c r="F751" s="125"/>
      <c r="G751" s="125"/>
      <c r="H751" s="125"/>
      <c r="I751" s="124" t="str">
        <f t="shared" si="4"/>
        <v/>
      </c>
      <c r="J751" s="119" t="s">
        <v>814</v>
      </c>
    </row>
    <row r="752">
      <c r="A752" s="125"/>
      <c r="B752" s="125"/>
      <c r="C752" s="125"/>
      <c r="D752" s="125"/>
      <c r="E752" s="125"/>
      <c r="F752" s="125"/>
      <c r="G752" s="125"/>
      <c r="H752" s="125"/>
      <c r="I752" s="124" t="str">
        <f t="shared" si="4"/>
        <v/>
      </c>
      <c r="J752" s="119" t="s">
        <v>814</v>
      </c>
    </row>
    <row r="753">
      <c r="A753" s="125"/>
      <c r="B753" s="125"/>
      <c r="C753" s="125"/>
      <c r="D753" s="125"/>
      <c r="E753" s="125"/>
      <c r="F753" s="125"/>
      <c r="G753" s="125"/>
      <c r="H753" s="125"/>
      <c r="I753" s="124" t="str">
        <f t="shared" si="4"/>
        <v/>
      </c>
      <c r="J753" s="119" t="s">
        <v>814</v>
      </c>
    </row>
    <row r="754">
      <c r="A754" s="125"/>
      <c r="B754" s="125"/>
      <c r="C754" s="125"/>
      <c r="D754" s="125"/>
      <c r="E754" s="125"/>
      <c r="F754" s="125"/>
      <c r="G754" s="125"/>
      <c r="H754" s="125"/>
      <c r="I754" s="124" t="str">
        <f t="shared" si="4"/>
        <v/>
      </c>
      <c r="J754" s="119" t="s">
        <v>814</v>
      </c>
    </row>
    <row r="755">
      <c r="A755" s="125"/>
      <c r="B755" s="125"/>
      <c r="C755" s="125"/>
      <c r="D755" s="125"/>
      <c r="E755" s="125"/>
      <c r="F755" s="125"/>
      <c r="G755" s="125"/>
      <c r="H755" s="125"/>
      <c r="I755" s="124" t="str">
        <f t="shared" si="4"/>
        <v/>
      </c>
      <c r="J755" s="119" t="s">
        <v>814</v>
      </c>
    </row>
    <row r="756">
      <c r="A756" s="125"/>
      <c r="B756" s="125"/>
      <c r="C756" s="125"/>
      <c r="D756" s="125"/>
      <c r="E756" s="125"/>
      <c r="F756" s="125"/>
      <c r="G756" s="125"/>
      <c r="H756" s="125"/>
      <c r="I756" s="124" t="str">
        <f t="shared" si="4"/>
        <v/>
      </c>
      <c r="J756" s="119" t="s">
        <v>814</v>
      </c>
    </row>
    <row r="757">
      <c r="A757" s="125"/>
      <c r="B757" s="125"/>
      <c r="C757" s="125"/>
      <c r="D757" s="125"/>
      <c r="E757" s="125"/>
      <c r="F757" s="125"/>
      <c r="G757" s="125"/>
      <c r="H757" s="125"/>
      <c r="I757" s="124" t="str">
        <f t="shared" si="4"/>
        <v/>
      </c>
      <c r="J757" s="119" t="s">
        <v>814</v>
      </c>
    </row>
    <row r="758">
      <c r="A758" s="125"/>
      <c r="B758" s="125"/>
      <c r="C758" s="125"/>
      <c r="D758" s="125"/>
      <c r="E758" s="125"/>
      <c r="F758" s="125"/>
      <c r="G758" s="125"/>
      <c r="H758" s="125"/>
      <c r="I758" s="124" t="str">
        <f t="shared" si="4"/>
        <v/>
      </c>
      <c r="J758" s="119" t="s">
        <v>814</v>
      </c>
    </row>
    <row r="759">
      <c r="A759" s="125"/>
      <c r="B759" s="125"/>
      <c r="C759" s="125"/>
      <c r="D759" s="125"/>
      <c r="E759" s="125"/>
      <c r="F759" s="125"/>
      <c r="G759" s="125"/>
      <c r="H759" s="125"/>
      <c r="I759" s="124" t="str">
        <f t="shared" si="4"/>
        <v/>
      </c>
      <c r="J759" s="119" t="s">
        <v>814</v>
      </c>
    </row>
    <row r="760">
      <c r="A760" s="125"/>
      <c r="B760" s="125"/>
      <c r="C760" s="125"/>
      <c r="D760" s="125"/>
      <c r="E760" s="125"/>
      <c r="F760" s="125"/>
      <c r="G760" s="125"/>
      <c r="H760" s="125"/>
      <c r="I760" s="124" t="str">
        <f t="shared" si="4"/>
        <v/>
      </c>
      <c r="J760" s="119" t="s">
        <v>814</v>
      </c>
    </row>
    <row r="761">
      <c r="A761" s="125"/>
      <c r="B761" s="125"/>
      <c r="C761" s="125"/>
      <c r="D761" s="125"/>
      <c r="E761" s="125"/>
      <c r="F761" s="125"/>
      <c r="G761" s="125"/>
      <c r="H761" s="125"/>
      <c r="I761" s="124" t="str">
        <f t="shared" si="4"/>
        <v/>
      </c>
      <c r="J761" s="119" t="s">
        <v>814</v>
      </c>
    </row>
    <row r="762">
      <c r="A762" s="125"/>
      <c r="B762" s="125"/>
      <c r="C762" s="125"/>
      <c r="D762" s="125"/>
      <c r="E762" s="125"/>
      <c r="F762" s="125"/>
      <c r="G762" s="125"/>
      <c r="H762" s="125"/>
      <c r="I762" s="124" t="str">
        <f t="shared" si="4"/>
        <v/>
      </c>
      <c r="J762" s="119" t="s">
        <v>814</v>
      </c>
    </row>
    <row r="763">
      <c r="A763" s="125"/>
      <c r="B763" s="125"/>
      <c r="C763" s="125"/>
      <c r="D763" s="125"/>
      <c r="E763" s="125"/>
      <c r="F763" s="125"/>
      <c r="G763" s="125"/>
      <c r="H763" s="125"/>
      <c r="I763" s="124" t="str">
        <f t="shared" si="4"/>
        <v/>
      </c>
      <c r="J763" s="119" t="s">
        <v>814</v>
      </c>
    </row>
    <row r="764">
      <c r="A764" s="125"/>
      <c r="B764" s="125"/>
      <c r="C764" s="125"/>
      <c r="D764" s="125"/>
      <c r="E764" s="125"/>
      <c r="F764" s="125"/>
      <c r="G764" s="125"/>
      <c r="H764" s="125"/>
      <c r="I764" s="124" t="str">
        <f t="shared" si="4"/>
        <v/>
      </c>
      <c r="J764" s="119" t="s">
        <v>814</v>
      </c>
    </row>
    <row r="765">
      <c r="A765" s="125"/>
      <c r="B765" s="125"/>
      <c r="C765" s="125"/>
      <c r="D765" s="125"/>
      <c r="E765" s="125"/>
      <c r="F765" s="125"/>
      <c r="G765" s="125"/>
      <c r="H765" s="125"/>
      <c r="I765" s="124" t="str">
        <f t="shared" si="4"/>
        <v/>
      </c>
      <c r="J765" s="119" t="s">
        <v>814</v>
      </c>
    </row>
    <row r="766">
      <c r="A766" s="125"/>
      <c r="B766" s="125"/>
      <c r="C766" s="125"/>
      <c r="D766" s="125"/>
      <c r="E766" s="125"/>
      <c r="F766" s="125"/>
      <c r="G766" s="125"/>
      <c r="H766" s="125"/>
      <c r="I766" s="124" t="str">
        <f t="shared" si="4"/>
        <v/>
      </c>
      <c r="J766" s="119" t="s">
        <v>814</v>
      </c>
    </row>
    <row r="767">
      <c r="A767" s="125"/>
      <c r="B767" s="125"/>
      <c r="C767" s="125"/>
      <c r="D767" s="125"/>
      <c r="E767" s="125"/>
      <c r="F767" s="125"/>
      <c r="G767" s="125"/>
      <c r="H767" s="125"/>
      <c r="I767" s="124" t="str">
        <f t="shared" si="4"/>
        <v/>
      </c>
      <c r="J767" s="119" t="s">
        <v>814</v>
      </c>
    </row>
    <row r="768">
      <c r="A768" s="125"/>
      <c r="B768" s="125"/>
      <c r="C768" s="125"/>
      <c r="D768" s="125"/>
      <c r="E768" s="125"/>
      <c r="F768" s="125"/>
      <c r="G768" s="125"/>
      <c r="H768" s="125"/>
      <c r="I768" s="124" t="str">
        <f t="shared" si="4"/>
        <v/>
      </c>
      <c r="J768" s="119" t="s">
        <v>814</v>
      </c>
    </row>
    <row r="769">
      <c r="A769" s="125"/>
      <c r="B769" s="125"/>
      <c r="C769" s="125"/>
      <c r="D769" s="125"/>
      <c r="E769" s="125"/>
      <c r="F769" s="125"/>
      <c r="G769" s="125"/>
      <c r="H769" s="125"/>
      <c r="I769" s="124" t="str">
        <f t="shared" si="4"/>
        <v/>
      </c>
      <c r="J769" s="119" t="s">
        <v>814</v>
      </c>
    </row>
    <row r="770">
      <c r="A770" s="125"/>
      <c r="B770" s="125"/>
      <c r="C770" s="125"/>
      <c r="D770" s="125"/>
      <c r="E770" s="125"/>
      <c r="F770" s="125"/>
      <c r="G770" s="125"/>
      <c r="H770" s="125"/>
      <c r="I770" s="124" t="str">
        <f t="shared" si="4"/>
        <v/>
      </c>
      <c r="J770" s="119" t="s">
        <v>814</v>
      </c>
    </row>
    <row r="771">
      <c r="A771" s="125"/>
      <c r="B771" s="125"/>
      <c r="C771" s="125"/>
      <c r="D771" s="125"/>
      <c r="E771" s="125"/>
      <c r="F771" s="125"/>
      <c r="G771" s="125"/>
      <c r="H771" s="125"/>
      <c r="I771" s="124" t="str">
        <f t="shared" si="4"/>
        <v/>
      </c>
      <c r="J771" s="119" t="s">
        <v>814</v>
      </c>
    </row>
    <row r="772">
      <c r="A772" s="125"/>
      <c r="B772" s="125"/>
      <c r="C772" s="125"/>
      <c r="D772" s="125"/>
      <c r="E772" s="125"/>
      <c r="F772" s="125"/>
      <c r="G772" s="125"/>
      <c r="H772" s="125"/>
      <c r="I772" s="124" t="str">
        <f t="shared" si="4"/>
        <v/>
      </c>
      <c r="J772" s="119" t="s">
        <v>814</v>
      </c>
    </row>
    <row r="773">
      <c r="A773" s="125"/>
      <c r="B773" s="125"/>
      <c r="C773" s="125"/>
      <c r="D773" s="125"/>
      <c r="E773" s="125"/>
      <c r="F773" s="125"/>
      <c r="G773" s="125"/>
      <c r="H773" s="125"/>
      <c r="I773" s="124" t="str">
        <f t="shared" si="4"/>
        <v/>
      </c>
      <c r="J773" s="119" t="s">
        <v>814</v>
      </c>
    </row>
    <row r="774">
      <c r="A774" s="125"/>
      <c r="B774" s="125"/>
      <c r="C774" s="125"/>
      <c r="D774" s="125"/>
      <c r="E774" s="125"/>
      <c r="F774" s="125"/>
      <c r="G774" s="125"/>
      <c r="H774" s="125"/>
      <c r="I774" s="124" t="str">
        <f t="shared" si="4"/>
        <v/>
      </c>
      <c r="J774" s="119" t="s">
        <v>814</v>
      </c>
    </row>
    <row r="775">
      <c r="A775" s="125"/>
      <c r="B775" s="125"/>
      <c r="C775" s="125"/>
      <c r="D775" s="125"/>
      <c r="E775" s="125"/>
      <c r="F775" s="125"/>
      <c r="G775" s="125"/>
      <c r="H775" s="125"/>
      <c r="I775" s="124" t="str">
        <f t="shared" si="4"/>
        <v/>
      </c>
      <c r="J775" s="119" t="s">
        <v>814</v>
      </c>
    </row>
    <row r="776">
      <c r="A776" s="125"/>
      <c r="B776" s="125"/>
      <c r="C776" s="125"/>
      <c r="D776" s="125"/>
      <c r="E776" s="125"/>
      <c r="F776" s="125"/>
      <c r="G776" s="125"/>
      <c r="H776" s="125"/>
      <c r="I776" s="124" t="str">
        <f t="shared" si="4"/>
        <v/>
      </c>
      <c r="J776" s="119" t="s">
        <v>814</v>
      </c>
    </row>
    <row r="777">
      <c r="A777" s="125"/>
      <c r="B777" s="125"/>
      <c r="C777" s="125"/>
      <c r="D777" s="125"/>
      <c r="E777" s="125"/>
      <c r="F777" s="125"/>
      <c r="G777" s="125"/>
      <c r="H777" s="125"/>
      <c r="I777" s="124" t="str">
        <f t="shared" si="4"/>
        <v/>
      </c>
      <c r="J777" s="119" t="s">
        <v>814</v>
      </c>
    </row>
    <row r="778">
      <c r="A778" s="125"/>
      <c r="B778" s="125"/>
      <c r="C778" s="125"/>
      <c r="D778" s="125"/>
      <c r="E778" s="125"/>
      <c r="F778" s="125"/>
      <c r="G778" s="125"/>
      <c r="H778" s="125"/>
      <c r="I778" s="124" t="str">
        <f t="shared" si="4"/>
        <v/>
      </c>
      <c r="J778" s="119" t="s">
        <v>814</v>
      </c>
    </row>
    <row r="779">
      <c r="A779" s="125"/>
      <c r="B779" s="125"/>
      <c r="C779" s="125"/>
      <c r="D779" s="125"/>
      <c r="E779" s="125"/>
      <c r="F779" s="125"/>
      <c r="G779" s="125"/>
      <c r="H779" s="125"/>
      <c r="I779" s="124" t="str">
        <f t="shared" si="4"/>
        <v/>
      </c>
      <c r="J779" s="119" t="s">
        <v>814</v>
      </c>
    </row>
    <row r="780">
      <c r="A780" s="125"/>
      <c r="B780" s="125"/>
      <c r="C780" s="125"/>
      <c r="D780" s="125"/>
      <c r="E780" s="125"/>
      <c r="F780" s="125"/>
      <c r="G780" s="125"/>
      <c r="H780" s="125"/>
      <c r="I780" s="124" t="str">
        <f t="shared" si="4"/>
        <v/>
      </c>
      <c r="J780" s="119" t="s">
        <v>814</v>
      </c>
    </row>
    <row r="781">
      <c r="A781" s="125"/>
      <c r="B781" s="125"/>
      <c r="C781" s="125"/>
      <c r="D781" s="125"/>
      <c r="E781" s="125"/>
      <c r="F781" s="125"/>
      <c r="G781" s="125"/>
      <c r="H781" s="125"/>
      <c r="I781" s="124" t="str">
        <f t="shared" si="4"/>
        <v/>
      </c>
      <c r="J781" s="119" t="s">
        <v>814</v>
      </c>
    </row>
    <row r="782">
      <c r="A782" s="125"/>
      <c r="B782" s="125"/>
      <c r="C782" s="125"/>
      <c r="D782" s="125"/>
      <c r="E782" s="125"/>
      <c r="F782" s="125"/>
      <c r="G782" s="125"/>
      <c r="H782" s="125"/>
      <c r="I782" s="124" t="str">
        <f t="shared" si="4"/>
        <v/>
      </c>
      <c r="J782" s="119" t="s">
        <v>814</v>
      </c>
    </row>
    <row r="783">
      <c r="A783" s="125"/>
      <c r="B783" s="125"/>
      <c r="C783" s="125"/>
      <c r="D783" s="125"/>
      <c r="E783" s="125"/>
      <c r="F783" s="125"/>
      <c r="G783" s="125"/>
      <c r="H783" s="125"/>
      <c r="I783" s="124" t="str">
        <f t="shared" si="4"/>
        <v/>
      </c>
      <c r="J783" s="119" t="s">
        <v>814</v>
      </c>
    </row>
    <row r="784">
      <c r="A784" s="125"/>
      <c r="B784" s="125"/>
      <c r="C784" s="125"/>
      <c r="D784" s="125"/>
      <c r="E784" s="125"/>
      <c r="F784" s="125"/>
      <c r="G784" s="125"/>
      <c r="H784" s="125"/>
      <c r="I784" s="124" t="str">
        <f t="shared" si="4"/>
        <v/>
      </c>
      <c r="J784" s="119" t="s">
        <v>814</v>
      </c>
    </row>
    <row r="785">
      <c r="A785" s="125"/>
      <c r="B785" s="125"/>
      <c r="C785" s="125"/>
      <c r="D785" s="125"/>
      <c r="E785" s="125"/>
      <c r="F785" s="125"/>
      <c r="G785" s="125"/>
      <c r="H785" s="125"/>
      <c r="I785" s="124" t="str">
        <f t="shared" si="4"/>
        <v/>
      </c>
      <c r="J785" s="119" t="s">
        <v>814</v>
      </c>
    </row>
    <row r="786">
      <c r="A786" s="125"/>
      <c r="B786" s="125"/>
      <c r="C786" s="125"/>
      <c r="D786" s="125"/>
      <c r="E786" s="125"/>
      <c r="F786" s="125"/>
      <c r="G786" s="125"/>
      <c r="H786" s="125"/>
      <c r="I786" s="124" t="str">
        <f t="shared" si="4"/>
        <v/>
      </c>
      <c r="J786" s="119" t="s">
        <v>814</v>
      </c>
    </row>
    <row r="787">
      <c r="A787" s="125"/>
      <c r="B787" s="125"/>
      <c r="C787" s="125"/>
      <c r="D787" s="125"/>
      <c r="E787" s="125"/>
      <c r="F787" s="125"/>
      <c r="G787" s="125"/>
      <c r="H787" s="125"/>
      <c r="I787" s="124" t="str">
        <f t="shared" si="4"/>
        <v/>
      </c>
      <c r="J787" s="119" t="s">
        <v>814</v>
      </c>
    </row>
    <row r="788">
      <c r="A788" s="125"/>
      <c r="B788" s="125"/>
      <c r="C788" s="125"/>
      <c r="D788" s="125"/>
      <c r="E788" s="125"/>
      <c r="F788" s="125"/>
      <c r="G788" s="125"/>
      <c r="H788" s="125"/>
      <c r="I788" s="124" t="str">
        <f t="shared" si="4"/>
        <v/>
      </c>
      <c r="J788" s="119" t="s">
        <v>814</v>
      </c>
    </row>
    <row r="789">
      <c r="A789" s="125"/>
      <c r="B789" s="125"/>
      <c r="C789" s="125"/>
      <c r="D789" s="125"/>
      <c r="E789" s="125"/>
      <c r="F789" s="125"/>
      <c r="G789" s="125"/>
      <c r="H789" s="125"/>
      <c r="I789" s="124" t="str">
        <f t="shared" si="4"/>
        <v/>
      </c>
      <c r="J789" s="119" t="s">
        <v>814</v>
      </c>
    </row>
    <row r="790">
      <c r="A790" s="125"/>
      <c r="B790" s="125"/>
      <c r="C790" s="125"/>
      <c r="D790" s="125"/>
      <c r="E790" s="125"/>
      <c r="F790" s="125"/>
      <c r="G790" s="125"/>
      <c r="H790" s="125"/>
      <c r="I790" s="124" t="str">
        <f t="shared" si="4"/>
        <v/>
      </c>
      <c r="J790" s="119" t="s">
        <v>814</v>
      </c>
    </row>
    <row r="791">
      <c r="A791" s="125"/>
      <c r="B791" s="125"/>
      <c r="C791" s="125"/>
      <c r="D791" s="125"/>
      <c r="E791" s="125"/>
      <c r="F791" s="125"/>
      <c r="G791" s="125"/>
      <c r="H791" s="125"/>
      <c r="I791" s="124" t="str">
        <f t="shared" si="4"/>
        <v/>
      </c>
      <c r="J791" s="119" t="s">
        <v>814</v>
      </c>
    </row>
    <row r="792">
      <c r="A792" s="125"/>
      <c r="B792" s="125"/>
      <c r="C792" s="125"/>
      <c r="D792" s="125"/>
      <c r="E792" s="125"/>
      <c r="F792" s="125"/>
      <c r="G792" s="125"/>
      <c r="H792" s="125"/>
      <c r="I792" s="124" t="str">
        <f t="shared" si="4"/>
        <v/>
      </c>
      <c r="J792" s="119" t="s">
        <v>814</v>
      </c>
    </row>
    <row r="793">
      <c r="A793" s="125"/>
      <c r="B793" s="125"/>
      <c r="C793" s="125"/>
      <c r="D793" s="125"/>
      <c r="E793" s="125"/>
      <c r="F793" s="125"/>
      <c r="G793" s="125"/>
      <c r="H793" s="125"/>
      <c r="I793" s="124" t="str">
        <f t="shared" si="4"/>
        <v/>
      </c>
      <c r="J793" s="119" t="s">
        <v>814</v>
      </c>
    </row>
    <row r="794">
      <c r="A794" s="125"/>
      <c r="B794" s="125"/>
      <c r="C794" s="125"/>
      <c r="D794" s="125"/>
      <c r="E794" s="125"/>
      <c r="F794" s="125"/>
      <c r="G794" s="125"/>
      <c r="H794" s="125"/>
      <c r="I794" s="124" t="str">
        <f t="shared" si="4"/>
        <v/>
      </c>
      <c r="J794" s="119" t="s">
        <v>814</v>
      </c>
    </row>
    <row r="795">
      <c r="A795" s="125"/>
      <c r="B795" s="125"/>
      <c r="C795" s="125"/>
      <c r="D795" s="125"/>
      <c r="E795" s="125"/>
      <c r="F795" s="125"/>
      <c r="G795" s="125"/>
      <c r="H795" s="125"/>
      <c r="I795" s="124" t="str">
        <f t="shared" si="4"/>
        <v/>
      </c>
      <c r="J795" s="119" t="s">
        <v>814</v>
      </c>
    </row>
    <row r="796">
      <c r="A796" s="125"/>
      <c r="B796" s="125"/>
      <c r="C796" s="125"/>
      <c r="D796" s="125"/>
      <c r="E796" s="125"/>
      <c r="F796" s="125"/>
      <c r="G796" s="125"/>
      <c r="H796" s="125"/>
      <c r="I796" s="124" t="str">
        <f t="shared" si="4"/>
        <v/>
      </c>
      <c r="J796" s="119" t="s">
        <v>814</v>
      </c>
    </row>
    <row r="797">
      <c r="A797" s="125"/>
      <c r="B797" s="125"/>
      <c r="C797" s="125"/>
      <c r="D797" s="125"/>
      <c r="E797" s="125"/>
      <c r="F797" s="125"/>
      <c r="G797" s="125"/>
      <c r="H797" s="125"/>
      <c r="I797" s="124" t="str">
        <f t="shared" si="4"/>
        <v/>
      </c>
      <c r="J797" s="119" t="s">
        <v>814</v>
      </c>
    </row>
    <row r="798">
      <c r="A798" s="125"/>
      <c r="B798" s="125"/>
      <c r="C798" s="125"/>
      <c r="D798" s="125"/>
      <c r="E798" s="125"/>
      <c r="F798" s="125"/>
      <c r="G798" s="125"/>
      <c r="H798" s="125"/>
      <c r="I798" s="124" t="str">
        <f t="shared" si="4"/>
        <v/>
      </c>
      <c r="J798" s="119" t="s">
        <v>814</v>
      </c>
    </row>
    <row r="799">
      <c r="A799" s="125"/>
      <c r="B799" s="125"/>
      <c r="C799" s="125"/>
      <c r="D799" s="125"/>
      <c r="E799" s="125"/>
      <c r="F799" s="125"/>
      <c r="G799" s="125"/>
      <c r="H799" s="125"/>
      <c r="I799" s="124" t="str">
        <f t="shared" si="4"/>
        <v/>
      </c>
      <c r="J799" s="119" t="s">
        <v>814</v>
      </c>
    </row>
    <row r="800">
      <c r="A800" s="125"/>
      <c r="B800" s="125"/>
      <c r="C800" s="125"/>
      <c r="D800" s="125"/>
      <c r="E800" s="125"/>
      <c r="F800" s="125"/>
      <c r="G800" s="125"/>
      <c r="H800" s="125"/>
      <c r="I800" s="124" t="str">
        <f t="shared" si="4"/>
        <v/>
      </c>
      <c r="J800" s="119" t="s">
        <v>814</v>
      </c>
    </row>
    <row r="801">
      <c r="A801" s="125"/>
      <c r="B801" s="125"/>
      <c r="C801" s="125"/>
      <c r="D801" s="125"/>
      <c r="E801" s="125"/>
      <c r="F801" s="125"/>
      <c r="G801" s="125"/>
      <c r="H801" s="125"/>
      <c r="I801" s="124" t="str">
        <f t="shared" si="4"/>
        <v/>
      </c>
      <c r="J801" s="119" t="s">
        <v>814</v>
      </c>
    </row>
    <row r="802">
      <c r="A802" s="125"/>
      <c r="B802" s="125"/>
      <c r="C802" s="125"/>
      <c r="D802" s="125"/>
      <c r="E802" s="125"/>
      <c r="F802" s="125"/>
      <c r="G802" s="125"/>
      <c r="H802" s="125"/>
      <c r="I802" s="124" t="str">
        <f t="shared" si="4"/>
        <v/>
      </c>
      <c r="J802" s="119" t="s">
        <v>814</v>
      </c>
    </row>
    <row r="803">
      <c r="A803" s="125"/>
      <c r="B803" s="125"/>
      <c r="C803" s="125"/>
      <c r="D803" s="125"/>
      <c r="E803" s="125"/>
      <c r="F803" s="125"/>
      <c r="G803" s="125"/>
      <c r="H803" s="125"/>
      <c r="I803" s="124" t="str">
        <f t="shared" si="4"/>
        <v/>
      </c>
      <c r="J803" s="119" t="s">
        <v>814</v>
      </c>
    </row>
    <row r="804">
      <c r="A804" s="125"/>
      <c r="B804" s="125"/>
      <c r="C804" s="125"/>
      <c r="D804" s="125"/>
      <c r="E804" s="125"/>
      <c r="F804" s="125"/>
      <c r="G804" s="125"/>
      <c r="H804" s="125"/>
      <c r="I804" s="124" t="str">
        <f t="shared" si="4"/>
        <v/>
      </c>
      <c r="J804" s="119" t="s">
        <v>814</v>
      </c>
    </row>
    <row r="805">
      <c r="A805" s="125"/>
      <c r="B805" s="125"/>
      <c r="C805" s="125"/>
      <c r="D805" s="125"/>
      <c r="E805" s="125"/>
      <c r="F805" s="125"/>
      <c r="G805" s="125"/>
      <c r="H805" s="125"/>
      <c r="I805" s="124" t="str">
        <f t="shared" si="4"/>
        <v/>
      </c>
      <c r="J805" s="119" t="s">
        <v>814</v>
      </c>
    </row>
    <row r="806">
      <c r="A806" s="125"/>
      <c r="B806" s="125"/>
      <c r="C806" s="125"/>
      <c r="D806" s="125"/>
      <c r="E806" s="125"/>
      <c r="F806" s="125"/>
      <c r="G806" s="125"/>
      <c r="H806" s="125"/>
      <c r="I806" s="124" t="str">
        <f t="shared" si="4"/>
        <v/>
      </c>
      <c r="J806" s="119" t="s">
        <v>814</v>
      </c>
    </row>
    <row r="807">
      <c r="A807" s="125"/>
      <c r="B807" s="125"/>
      <c r="C807" s="125"/>
      <c r="D807" s="125"/>
      <c r="E807" s="125"/>
      <c r="F807" s="125"/>
      <c r="G807" s="125"/>
      <c r="H807" s="125"/>
      <c r="I807" s="124" t="str">
        <f t="shared" si="4"/>
        <v/>
      </c>
      <c r="J807" s="119" t="s">
        <v>814</v>
      </c>
    </row>
    <row r="808">
      <c r="A808" s="125"/>
      <c r="B808" s="125"/>
      <c r="C808" s="125"/>
      <c r="D808" s="125"/>
      <c r="E808" s="125"/>
      <c r="F808" s="125"/>
      <c r="G808" s="125"/>
      <c r="H808" s="125"/>
      <c r="I808" s="124" t="str">
        <f t="shared" si="4"/>
        <v/>
      </c>
      <c r="J808" s="119" t="s">
        <v>814</v>
      </c>
    </row>
    <row r="809">
      <c r="A809" s="125"/>
      <c r="B809" s="125"/>
      <c r="C809" s="125"/>
      <c r="D809" s="125"/>
      <c r="E809" s="125"/>
      <c r="F809" s="125"/>
      <c r="G809" s="125"/>
      <c r="H809" s="125"/>
      <c r="I809" s="124" t="str">
        <f t="shared" si="4"/>
        <v/>
      </c>
      <c r="J809" s="119" t="s">
        <v>814</v>
      </c>
    </row>
    <row r="810">
      <c r="A810" s="125"/>
      <c r="B810" s="125"/>
      <c r="C810" s="125"/>
      <c r="D810" s="125"/>
      <c r="E810" s="125"/>
      <c r="F810" s="125"/>
      <c r="G810" s="125"/>
      <c r="H810" s="125"/>
      <c r="I810" s="124" t="str">
        <f t="shared" si="4"/>
        <v/>
      </c>
      <c r="J810" s="119" t="s">
        <v>814</v>
      </c>
    </row>
    <row r="811">
      <c r="A811" s="125"/>
      <c r="B811" s="125"/>
      <c r="C811" s="125"/>
      <c r="D811" s="125"/>
      <c r="E811" s="125"/>
      <c r="F811" s="125"/>
      <c r="G811" s="125"/>
      <c r="H811" s="125"/>
      <c r="I811" s="124" t="str">
        <f t="shared" si="4"/>
        <v/>
      </c>
      <c r="J811" s="119" t="s">
        <v>814</v>
      </c>
    </row>
    <row r="812">
      <c r="A812" s="125"/>
      <c r="B812" s="125"/>
      <c r="C812" s="125"/>
      <c r="D812" s="125"/>
      <c r="E812" s="125"/>
      <c r="F812" s="125"/>
      <c r="G812" s="125"/>
      <c r="H812" s="125"/>
      <c r="I812" s="124" t="str">
        <f t="shared" si="4"/>
        <v/>
      </c>
      <c r="J812" s="119" t="s">
        <v>814</v>
      </c>
    </row>
    <row r="813">
      <c r="A813" s="125"/>
      <c r="B813" s="125"/>
      <c r="C813" s="125"/>
      <c r="D813" s="125"/>
      <c r="E813" s="125"/>
      <c r="F813" s="125"/>
      <c r="G813" s="125"/>
      <c r="H813" s="125"/>
      <c r="I813" s="124" t="str">
        <f t="shared" si="4"/>
        <v/>
      </c>
      <c r="J813" s="119" t="s">
        <v>814</v>
      </c>
    </row>
    <row r="814">
      <c r="A814" s="125"/>
      <c r="B814" s="125"/>
      <c r="C814" s="125"/>
      <c r="D814" s="125"/>
      <c r="E814" s="125"/>
      <c r="F814" s="125"/>
      <c r="G814" s="125"/>
      <c r="H814" s="125"/>
      <c r="I814" s="124" t="str">
        <f t="shared" si="4"/>
        <v/>
      </c>
      <c r="J814" s="119" t="s">
        <v>814</v>
      </c>
    </row>
    <row r="815">
      <c r="A815" s="125"/>
      <c r="B815" s="125"/>
      <c r="C815" s="125"/>
      <c r="D815" s="125"/>
      <c r="E815" s="125"/>
      <c r="F815" s="125"/>
      <c r="G815" s="125"/>
      <c r="H815" s="125"/>
      <c r="I815" s="124" t="str">
        <f t="shared" si="4"/>
        <v/>
      </c>
      <c r="J815" s="119" t="s">
        <v>814</v>
      </c>
    </row>
    <row r="816">
      <c r="A816" s="125"/>
      <c r="B816" s="125"/>
      <c r="C816" s="125"/>
      <c r="D816" s="125"/>
      <c r="E816" s="125"/>
      <c r="F816" s="125"/>
      <c r="G816" s="125"/>
      <c r="H816" s="125"/>
      <c r="I816" s="124" t="str">
        <f t="shared" si="4"/>
        <v/>
      </c>
      <c r="J816" s="119" t="s">
        <v>814</v>
      </c>
    </row>
    <row r="817">
      <c r="A817" s="125"/>
      <c r="B817" s="125"/>
      <c r="C817" s="125"/>
      <c r="D817" s="125"/>
      <c r="E817" s="125"/>
      <c r="F817" s="125"/>
      <c r="G817" s="125"/>
      <c r="H817" s="125"/>
      <c r="I817" s="124" t="str">
        <f t="shared" si="4"/>
        <v/>
      </c>
      <c r="J817" s="119" t="s">
        <v>814</v>
      </c>
    </row>
    <row r="818">
      <c r="A818" s="125"/>
      <c r="B818" s="125"/>
      <c r="C818" s="125"/>
      <c r="D818" s="125"/>
      <c r="E818" s="125"/>
      <c r="F818" s="125"/>
      <c r="G818" s="125"/>
      <c r="H818" s="125"/>
      <c r="I818" s="124" t="str">
        <f t="shared" si="4"/>
        <v/>
      </c>
      <c r="J818" s="119" t="s">
        <v>814</v>
      </c>
    </row>
    <row r="819">
      <c r="A819" s="125"/>
      <c r="B819" s="125"/>
      <c r="C819" s="125"/>
      <c r="D819" s="125"/>
      <c r="E819" s="125"/>
      <c r="F819" s="125"/>
      <c r="G819" s="125"/>
      <c r="H819" s="125"/>
      <c r="I819" s="124" t="str">
        <f t="shared" si="4"/>
        <v/>
      </c>
      <c r="J819" s="119" t="s">
        <v>814</v>
      </c>
    </row>
    <row r="820">
      <c r="A820" s="125"/>
      <c r="B820" s="125"/>
      <c r="C820" s="125"/>
      <c r="D820" s="125"/>
      <c r="E820" s="125"/>
      <c r="F820" s="125"/>
      <c r="G820" s="125"/>
      <c r="H820" s="125"/>
      <c r="I820" s="124" t="str">
        <f t="shared" si="4"/>
        <v/>
      </c>
      <c r="J820" s="119" t="s">
        <v>814</v>
      </c>
    </row>
    <row r="821">
      <c r="A821" s="125"/>
      <c r="B821" s="125"/>
      <c r="C821" s="125"/>
      <c r="D821" s="125"/>
      <c r="E821" s="125"/>
      <c r="F821" s="125"/>
      <c r="G821" s="125"/>
      <c r="H821" s="125"/>
      <c r="I821" s="124" t="str">
        <f t="shared" si="4"/>
        <v/>
      </c>
      <c r="J821" s="119" t="s">
        <v>814</v>
      </c>
    </row>
    <row r="822">
      <c r="A822" s="125"/>
      <c r="B822" s="125"/>
      <c r="C822" s="125"/>
      <c r="D822" s="125"/>
      <c r="E822" s="125"/>
      <c r="F822" s="125"/>
      <c r="G822" s="125"/>
      <c r="H822" s="125"/>
      <c r="I822" s="124" t="str">
        <f t="shared" si="4"/>
        <v/>
      </c>
      <c r="J822" s="119" t="s">
        <v>814</v>
      </c>
    </row>
    <row r="823">
      <c r="A823" s="125"/>
      <c r="B823" s="125"/>
      <c r="C823" s="125"/>
      <c r="D823" s="125"/>
      <c r="E823" s="125"/>
      <c r="F823" s="125"/>
      <c r="G823" s="125"/>
      <c r="H823" s="125"/>
      <c r="I823" s="124" t="str">
        <f t="shared" si="4"/>
        <v/>
      </c>
      <c r="J823" s="119" t="s">
        <v>814</v>
      </c>
    </row>
    <row r="824">
      <c r="A824" s="125"/>
      <c r="B824" s="125"/>
      <c r="C824" s="125"/>
      <c r="D824" s="125"/>
      <c r="E824" s="125"/>
      <c r="F824" s="125"/>
      <c r="G824" s="125"/>
      <c r="H824" s="125"/>
      <c r="I824" s="124" t="str">
        <f t="shared" si="4"/>
        <v/>
      </c>
      <c r="J824" s="119" t="s">
        <v>814</v>
      </c>
    </row>
    <row r="825">
      <c r="A825" s="125"/>
      <c r="B825" s="125"/>
      <c r="C825" s="125"/>
      <c r="D825" s="125"/>
      <c r="E825" s="125"/>
      <c r="F825" s="125"/>
      <c r="G825" s="125"/>
      <c r="H825" s="125"/>
      <c r="I825" s="124" t="str">
        <f t="shared" si="4"/>
        <v/>
      </c>
      <c r="J825" s="119" t="s">
        <v>814</v>
      </c>
    </row>
    <row r="826">
      <c r="A826" s="125"/>
      <c r="B826" s="125"/>
      <c r="C826" s="125"/>
      <c r="D826" s="125"/>
      <c r="E826" s="125"/>
      <c r="F826" s="125"/>
      <c r="G826" s="125"/>
      <c r="H826" s="125"/>
      <c r="I826" s="124" t="str">
        <f t="shared" si="4"/>
        <v/>
      </c>
      <c r="J826" s="119" t="s">
        <v>814</v>
      </c>
    </row>
    <row r="827">
      <c r="A827" s="125"/>
      <c r="B827" s="125"/>
      <c r="C827" s="125"/>
      <c r="D827" s="125"/>
      <c r="E827" s="125"/>
      <c r="F827" s="125"/>
      <c r="G827" s="125"/>
      <c r="H827" s="125"/>
      <c r="I827" s="124" t="str">
        <f t="shared" si="4"/>
        <v/>
      </c>
      <c r="J827" s="119" t="s">
        <v>814</v>
      </c>
    </row>
    <row r="828">
      <c r="A828" s="125"/>
      <c r="B828" s="125"/>
      <c r="C828" s="125"/>
      <c r="D828" s="125"/>
      <c r="E828" s="125"/>
      <c r="F828" s="125"/>
      <c r="G828" s="125"/>
      <c r="H828" s="125"/>
      <c r="I828" s="124" t="str">
        <f t="shared" si="4"/>
        <v/>
      </c>
      <c r="J828" s="119" t="s">
        <v>814</v>
      </c>
    </row>
    <row r="829">
      <c r="A829" s="125"/>
      <c r="B829" s="125"/>
      <c r="C829" s="125"/>
      <c r="D829" s="125"/>
      <c r="E829" s="125"/>
      <c r="F829" s="125"/>
      <c r="G829" s="125"/>
      <c r="H829" s="125"/>
      <c r="I829" s="124" t="str">
        <f t="shared" si="4"/>
        <v/>
      </c>
      <c r="J829" s="119" t="s">
        <v>814</v>
      </c>
    </row>
    <row r="830">
      <c r="A830" s="125"/>
      <c r="B830" s="125"/>
      <c r="C830" s="125"/>
      <c r="D830" s="125"/>
      <c r="E830" s="125"/>
      <c r="F830" s="125"/>
      <c r="G830" s="125"/>
      <c r="H830" s="125"/>
      <c r="I830" s="124" t="str">
        <f t="shared" si="4"/>
        <v/>
      </c>
      <c r="J830" s="119" t="s">
        <v>814</v>
      </c>
    </row>
    <row r="831">
      <c r="A831" s="125"/>
      <c r="B831" s="125"/>
      <c r="C831" s="125"/>
      <c r="D831" s="125"/>
      <c r="E831" s="125"/>
      <c r="F831" s="125"/>
      <c r="G831" s="125"/>
      <c r="H831" s="125"/>
      <c r="I831" s="124" t="str">
        <f t="shared" si="4"/>
        <v/>
      </c>
      <c r="J831" s="119" t="s">
        <v>814</v>
      </c>
    </row>
    <row r="832">
      <c r="A832" s="125"/>
      <c r="B832" s="125"/>
      <c r="C832" s="125"/>
      <c r="D832" s="125"/>
      <c r="E832" s="125"/>
      <c r="F832" s="125"/>
      <c r="G832" s="125"/>
      <c r="H832" s="125"/>
      <c r="I832" s="124" t="str">
        <f t="shared" si="4"/>
        <v/>
      </c>
      <c r="J832" s="119" t="s">
        <v>814</v>
      </c>
    </row>
    <row r="833">
      <c r="A833" s="125"/>
      <c r="B833" s="125"/>
      <c r="C833" s="125"/>
      <c r="D833" s="125"/>
      <c r="E833" s="125"/>
      <c r="F833" s="125"/>
      <c r="G833" s="125"/>
      <c r="H833" s="125"/>
      <c r="I833" s="124" t="str">
        <f t="shared" si="4"/>
        <v/>
      </c>
      <c r="J833" s="119" t="s">
        <v>814</v>
      </c>
    </row>
    <row r="834">
      <c r="A834" s="125"/>
      <c r="B834" s="125"/>
      <c r="C834" s="125"/>
      <c r="D834" s="125"/>
      <c r="E834" s="125"/>
      <c r="F834" s="125"/>
      <c r="G834" s="125"/>
      <c r="H834" s="125"/>
      <c r="I834" s="124" t="str">
        <f t="shared" si="4"/>
        <v/>
      </c>
      <c r="J834" s="119" t="s">
        <v>814</v>
      </c>
    </row>
    <row r="835">
      <c r="A835" s="125"/>
      <c r="B835" s="125"/>
      <c r="C835" s="125"/>
      <c r="D835" s="125"/>
      <c r="E835" s="125"/>
      <c r="F835" s="125"/>
      <c r="G835" s="125"/>
      <c r="H835" s="125"/>
      <c r="I835" s="124" t="str">
        <f t="shared" si="4"/>
        <v/>
      </c>
      <c r="J835" s="119" t="s">
        <v>814</v>
      </c>
    </row>
    <row r="836">
      <c r="A836" s="125"/>
      <c r="B836" s="125"/>
      <c r="C836" s="125"/>
      <c r="D836" s="125"/>
      <c r="E836" s="125"/>
      <c r="F836" s="125"/>
      <c r="G836" s="125"/>
      <c r="H836" s="125"/>
      <c r="I836" s="124" t="str">
        <f t="shared" si="4"/>
        <v/>
      </c>
      <c r="J836" s="119" t="s">
        <v>814</v>
      </c>
    </row>
    <row r="837">
      <c r="A837" s="125"/>
      <c r="B837" s="125"/>
      <c r="C837" s="125"/>
      <c r="D837" s="125"/>
      <c r="E837" s="125"/>
      <c r="F837" s="125"/>
      <c r="G837" s="125"/>
      <c r="H837" s="125"/>
      <c r="I837" s="124" t="str">
        <f t="shared" si="4"/>
        <v/>
      </c>
      <c r="J837" s="119" t="s">
        <v>814</v>
      </c>
    </row>
    <row r="838">
      <c r="A838" s="125"/>
      <c r="B838" s="125"/>
      <c r="C838" s="125"/>
      <c r="D838" s="125"/>
      <c r="E838" s="125"/>
      <c r="F838" s="125"/>
      <c r="G838" s="125"/>
      <c r="H838" s="125"/>
      <c r="I838" s="124" t="str">
        <f t="shared" si="4"/>
        <v/>
      </c>
      <c r="J838" s="119" t="s">
        <v>814</v>
      </c>
    </row>
    <row r="839">
      <c r="A839" s="125"/>
      <c r="B839" s="125"/>
      <c r="C839" s="125"/>
      <c r="D839" s="125"/>
      <c r="E839" s="125"/>
      <c r="F839" s="125"/>
      <c r="G839" s="125"/>
      <c r="H839" s="125"/>
      <c r="I839" s="124" t="str">
        <f t="shared" si="4"/>
        <v/>
      </c>
      <c r="J839" s="119" t="s">
        <v>814</v>
      </c>
    </row>
    <row r="840">
      <c r="A840" s="125"/>
      <c r="B840" s="125"/>
      <c r="C840" s="125"/>
      <c r="D840" s="125"/>
      <c r="E840" s="125"/>
      <c r="F840" s="125"/>
      <c r="G840" s="125"/>
      <c r="H840" s="125"/>
      <c r="I840" s="124" t="str">
        <f t="shared" si="4"/>
        <v/>
      </c>
      <c r="J840" s="119" t="s">
        <v>814</v>
      </c>
    </row>
    <row r="841">
      <c r="A841" s="125"/>
      <c r="B841" s="125"/>
      <c r="C841" s="125"/>
      <c r="D841" s="125"/>
      <c r="E841" s="125"/>
      <c r="F841" s="125"/>
      <c r="G841" s="125"/>
      <c r="H841" s="125"/>
      <c r="I841" s="124" t="str">
        <f t="shared" si="4"/>
        <v/>
      </c>
      <c r="J841" s="119" t="s">
        <v>814</v>
      </c>
    </row>
    <row r="842">
      <c r="A842" s="125"/>
      <c r="B842" s="125"/>
      <c r="C842" s="125"/>
      <c r="D842" s="125"/>
      <c r="E842" s="125"/>
      <c r="F842" s="125"/>
      <c r="G842" s="125"/>
      <c r="H842" s="125"/>
      <c r="I842" s="124" t="str">
        <f t="shared" si="4"/>
        <v/>
      </c>
      <c r="J842" s="119" t="s">
        <v>814</v>
      </c>
    </row>
    <row r="843">
      <c r="A843" s="125"/>
      <c r="B843" s="125"/>
      <c r="C843" s="125"/>
      <c r="D843" s="125"/>
      <c r="E843" s="125"/>
      <c r="F843" s="125"/>
      <c r="G843" s="125"/>
      <c r="H843" s="125"/>
      <c r="I843" s="124" t="str">
        <f t="shared" si="4"/>
        <v/>
      </c>
      <c r="J843" s="119" t="s">
        <v>814</v>
      </c>
    </row>
    <row r="844">
      <c r="A844" s="125"/>
      <c r="B844" s="125"/>
      <c r="C844" s="125"/>
      <c r="D844" s="125"/>
      <c r="E844" s="125"/>
      <c r="F844" s="125"/>
      <c r="G844" s="125"/>
      <c r="H844" s="125"/>
      <c r="I844" s="124" t="str">
        <f t="shared" si="4"/>
        <v/>
      </c>
      <c r="J844" s="119" t="s">
        <v>814</v>
      </c>
    </row>
    <row r="845">
      <c r="A845" s="125"/>
      <c r="B845" s="125"/>
      <c r="C845" s="125"/>
      <c r="D845" s="125"/>
      <c r="E845" s="125"/>
      <c r="F845" s="125"/>
      <c r="G845" s="125"/>
      <c r="H845" s="125"/>
      <c r="I845" s="124" t="str">
        <f t="shared" si="4"/>
        <v/>
      </c>
      <c r="J845" s="119" t="s">
        <v>814</v>
      </c>
    </row>
    <row r="846">
      <c r="A846" s="125"/>
      <c r="B846" s="125"/>
      <c r="C846" s="125"/>
      <c r="D846" s="125"/>
      <c r="E846" s="125"/>
      <c r="F846" s="125"/>
      <c r="G846" s="125"/>
      <c r="H846" s="125"/>
      <c r="I846" s="124" t="str">
        <f t="shared" si="4"/>
        <v/>
      </c>
      <c r="J846" s="119" t="s">
        <v>814</v>
      </c>
    </row>
    <row r="847">
      <c r="A847" s="125"/>
      <c r="B847" s="125"/>
      <c r="C847" s="125"/>
      <c r="D847" s="125"/>
      <c r="E847" s="125"/>
      <c r="F847" s="125"/>
      <c r="G847" s="125"/>
      <c r="H847" s="125"/>
      <c r="I847" s="124" t="str">
        <f t="shared" si="4"/>
        <v/>
      </c>
      <c r="J847" s="119" t="s">
        <v>814</v>
      </c>
    </row>
    <row r="848">
      <c r="A848" s="125"/>
      <c r="B848" s="125"/>
      <c r="C848" s="125"/>
      <c r="D848" s="125"/>
      <c r="E848" s="125"/>
      <c r="F848" s="125"/>
      <c r="G848" s="125"/>
      <c r="H848" s="125"/>
      <c r="I848" s="124" t="str">
        <f t="shared" si="4"/>
        <v/>
      </c>
      <c r="J848" s="119" t="s">
        <v>814</v>
      </c>
    </row>
    <row r="849">
      <c r="A849" s="125"/>
      <c r="B849" s="125"/>
      <c r="C849" s="125"/>
      <c r="D849" s="125"/>
      <c r="E849" s="125"/>
      <c r="F849" s="125"/>
      <c r="G849" s="125"/>
      <c r="H849" s="125"/>
      <c r="I849" s="124" t="str">
        <f t="shared" si="4"/>
        <v/>
      </c>
      <c r="J849" s="119" t="s">
        <v>814</v>
      </c>
    </row>
    <row r="850">
      <c r="A850" s="125"/>
      <c r="B850" s="125"/>
      <c r="C850" s="125"/>
      <c r="D850" s="125"/>
      <c r="E850" s="125"/>
      <c r="F850" s="125"/>
      <c r="G850" s="125"/>
      <c r="H850" s="125"/>
      <c r="I850" s="124" t="str">
        <f t="shared" si="4"/>
        <v/>
      </c>
      <c r="J850" s="119" t="s">
        <v>814</v>
      </c>
    </row>
    <row r="851">
      <c r="A851" s="125"/>
      <c r="B851" s="125"/>
      <c r="C851" s="125"/>
      <c r="D851" s="125"/>
      <c r="E851" s="125"/>
      <c r="F851" s="125"/>
      <c r="G851" s="125"/>
      <c r="H851" s="125"/>
      <c r="I851" s="124" t="str">
        <f t="shared" si="4"/>
        <v/>
      </c>
      <c r="J851" s="119" t="s">
        <v>814</v>
      </c>
    </row>
    <row r="852">
      <c r="A852" s="125"/>
      <c r="B852" s="125"/>
      <c r="C852" s="125"/>
      <c r="D852" s="125"/>
      <c r="E852" s="125"/>
      <c r="F852" s="125"/>
      <c r="G852" s="125"/>
      <c r="H852" s="125"/>
      <c r="I852" s="124" t="str">
        <f t="shared" si="4"/>
        <v/>
      </c>
      <c r="J852" s="119" t="s">
        <v>814</v>
      </c>
    </row>
    <row r="853">
      <c r="A853" s="125"/>
      <c r="B853" s="125"/>
      <c r="C853" s="125"/>
      <c r="D853" s="125"/>
      <c r="E853" s="125"/>
      <c r="F853" s="125"/>
      <c r="G853" s="125"/>
      <c r="H853" s="125"/>
      <c r="I853" s="124" t="str">
        <f t="shared" si="4"/>
        <v/>
      </c>
      <c r="J853" s="119" t="s">
        <v>814</v>
      </c>
    </row>
    <row r="854">
      <c r="A854" s="125"/>
      <c r="B854" s="125"/>
      <c r="C854" s="125"/>
      <c r="D854" s="125"/>
      <c r="E854" s="125"/>
      <c r="F854" s="125"/>
      <c r="G854" s="125"/>
      <c r="H854" s="125"/>
      <c r="I854" s="124" t="str">
        <f t="shared" si="4"/>
        <v/>
      </c>
      <c r="J854" s="119" t="s">
        <v>814</v>
      </c>
    </row>
    <row r="855">
      <c r="A855" s="125"/>
      <c r="B855" s="125"/>
      <c r="C855" s="125"/>
      <c r="D855" s="125"/>
      <c r="E855" s="125"/>
      <c r="F855" s="125"/>
      <c r="G855" s="125"/>
      <c r="H855" s="125"/>
      <c r="I855" s="124" t="str">
        <f t="shared" si="4"/>
        <v/>
      </c>
      <c r="J855" s="119" t="s">
        <v>814</v>
      </c>
    </row>
    <row r="856">
      <c r="A856" s="125"/>
      <c r="B856" s="125"/>
      <c r="C856" s="125"/>
      <c r="D856" s="125"/>
      <c r="E856" s="125"/>
      <c r="F856" s="125"/>
      <c r="G856" s="125"/>
      <c r="H856" s="125"/>
      <c r="I856" s="124" t="str">
        <f t="shared" si="4"/>
        <v/>
      </c>
      <c r="J856" s="119" t="s">
        <v>814</v>
      </c>
    </row>
    <row r="857">
      <c r="A857" s="125"/>
      <c r="B857" s="125"/>
      <c r="C857" s="125"/>
      <c r="D857" s="125"/>
      <c r="E857" s="125"/>
      <c r="F857" s="125"/>
      <c r="G857" s="125"/>
      <c r="H857" s="125"/>
      <c r="I857" s="124" t="str">
        <f t="shared" si="4"/>
        <v/>
      </c>
      <c r="J857" s="119" t="s">
        <v>814</v>
      </c>
    </row>
    <row r="858">
      <c r="A858" s="125"/>
      <c r="B858" s="125"/>
      <c r="C858" s="125"/>
      <c r="D858" s="125"/>
      <c r="E858" s="125"/>
      <c r="F858" s="125"/>
      <c r="G858" s="125"/>
      <c r="H858" s="125"/>
      <c r="I858" s="124" t="str">
        <f t="shared" si="4"/>
        <v/>
      </c>
      <c r="J858" s="119" t="s">
        <v>814</v>
      </c>
    </row>
    <row r="859">
      <c r="A859" s="125"/>
      <c r="B859" s="125"/>
      <c r="C859" s="125"/>
      <c r="D859" s="125"/>
      <c r="E859" s="125"/>
      <c r="F859" s="125"/>
      <c r="G859" s="125"/>
      <c r="H859" s="125"/>
      <c r="I859" s="124" t="str">
        <f t="shared" si="4"/>
        <v/>
      </c>
      <c r="J859" s="119" t="s">
        <v>814</v>
      </c>
    </row>
    <row r="860">
      <c r="A860" s="125"/>
      <c r="B860" s="125"/>
      <c r="C860" s="125"/>
      <c r="D860" s="125"/>
      <c r="E860" s="125"/>
      <c r="F860" s="125"/>
      <c r="G860" s="125"/>
      <c r="H860" s="125"/>
      <c r="I860" s="124" t="str">
        <f t="shared" si="4"/>
        <v/>
      </c>
      <c r="J860" s="119" t="s">
        <v>814</v>
      </c>
    </row>
    <row r="861">
      <c r="A861" s="125"/>
      <c r="B861" s="125"/>
      <c r="C861" s="125"/>
      <c r="D861" s="125"/>
      <c r="E861" s="125"/>
      <c r="F861" s="125"/>
      <c r="G861" s="125"/>
      <c r="H861" s="125"/>
      <c r="I861" s="124" t="str">
        <f t="shared" si="4"/>
        <v/>
      </c>
      <c r="J861" s="119" t="s">
        <v>814</v>
      </c>
    </row>
    <row r="862">
      <c r="A862" s="125"/>
      <c r="B862" s="125"/>
      <c r="C862" s="125"/>
      <c r="D862" s="125"/>
      <c r="E862" s="125"/>
      <c r="F862" s="125"/>
      <c r="G862" s="125"/>
      <c r="H862" s="125"/>
      <c r="I862" s="124" t="str">
        <f t="shared" si="4"/>
        <v/>
      </c>
      <c r="J862" s="119" t="s">
        <v>814</v>
      </c>
    </row>
    <row r="863">
      <c r="A863" s="125"/>
      <c r="B863" s="125"/>
      <c r="C863" s="125"/>
      <c r="D863" s="125"/>
      <c r="E863" s="125"/>
      <c r="F863" s="125"/>
      <c r="G863" s="125"/>
      <c r="H863" s="125"/>
      <c r="I863" s="124" t="str">
        <f t="shared" si="4"/>
        <v/>
      </c>
      <c r="J863" s="119" t="s">
        <v>814</v>
      </c>
    </row>
    <row r="864">
      <c r="A864" s="125"/>
      <c r="B864" s="125"/>
      <c r="C864" s="125"/>
      <c r="D864" s="125"/>
      <c r="E864" s="125"/>
      <c r="F864" s="125"/>
      <c r="G864" s="125"/>
      <c r="H864" s="125"/>
      <c r="I864" s="124" t="str">
        <f t="shared" si="4"/>
        <v/>
      </c>
      <c r="J864" s="119" t="s">
        <v>814</v>
      </c>
    </row>
    <row r="865">
      <c r="A865" s="125"/>
      <c r="B865" s="125"/>
      <c r="C865" s="125"/>
      <c r="D865" s="125"/>
      <c r="E865" s="125"/>
      <c r="F865" s="125"/>
      <c r="G865" s="125"/>
      <c r="H865" s="125"/>
      <c r="I865" s="124" t="str">
        <f t="shared" si="4"/>
        <v/>
      </c>
      <c r="J865" s="119" t="s">
        <v>814</v>
      </c>
    </row>
    <row r="866">
      <c r="A866" s="125"/>
      <c r="B866" s="125"/>
      <c r="C866" s="125"/>
      <c r="D866" s="125"/>
      <c r="E866" s="125"/>
      <c r="F866" s="125"/>
      <c r="G866" s="125"/>
      <c r="H866" s="125"/>
      <c r="I866" s="124" t="str">
        <f t="shared" si="4"/>
        <v/>
      </c>
      <c r="J866" s="119" t="s">
        <v>814</v>
      </c>
    </row>
    <row r="867">
      <c r="A867" s="125"/>
      <c r="B867" s="125"/>
      <c r="C867" s="125"/>
      <c r="D867" s="125"/>
      <c r="E867" s="125"/>
      <c r="F867" s="125"/>
      <c r="G867" s="125"/>
      <c r="H867" s="125"/>
      <c r="I867" s="124" t="str">
        <f t="shared" si="4"/>
        <v/>
      </c>
      <c r="J867" s="119" t="s">
        <v>814</v>
      </c>
    </row>
    <row r="868">
      <c r="A868" s="125"/>
      <c r="B868" s="125"/>
      <c r="C868" s="125"/>
      <c r="D868" s="125"/>
      <c r="E868" s="125"/>
      <c r="F868" s="125"/>
      <c r="G868" s="125"/>
      <c r="H868" s="125"/>
      <c r="I868" s="124" t="str">
        <f t="shared" si="4"/>
        <v/>
      </c>
      <c r="J868" s="119" t="s">
        <v>814</v>
      </c>
    </row>
    <row r="869">
      <c r="A869" s="125"/>
      <c r="B869" s="125"/>
      <c r="C869" s="125"/>
      <c r="D869" s="125"/>
      <c r="E869" s="125"/>
      <c r="F869" s="125"/>
      <c r="G869" s="125"/>
      <c r="H869" s="125"/>
      <c r="I869" s="124" t="str">
        <f t="shared" si="4"/>
        <v/>
      </c>
      <c r="J869" s="119" t="s">
        <v>814</v>
      </c>
    </row>
    <row r="870">
      <c r="A870" s="125"/>
      <c r="B870" s="125"/>
      <c r="C870" s="125"/>
      <c r="D870" s="125"/>
      <c r="E870" s="125"/>
      <c r="F870" s="125"/>
      <c r="G870" s="125"/>
      <c r="H870" s="125"/>
      <c r="I870" s="124" t="str">
        <f t="shared" si="4"/>
        <v/>
      </c>
      <c r="J870" s="119" t="s">
        <v>814</v>
      </c>
    </row>
    <row r="871">
      <c r="A871" s="125"/>
      <c r="B871" s="125"/>
      <c r="C871" s="125"/>
      <c r="D871" s="125"/>
      <c r="E871" s="125"/>
      <c r="F871" s="125"/>
      <c r="G871" s="125"/>
      <c r="H871" s="125"/>
      <c r="I871" s="124" t="str">
        <f t="shared" si="4"/>
        <v/>
      </c>
      <c r="J871" s="119" t="s">
        <v>814</v>
      </c>
    </row>
    <row r="872">
      <c r="A872" s="125"/>
      <c r="B872" s="125"/>
      <c r="C872" s="125"/>
      <c r="D872" s="125"/>
      <c r="E872" s="125"/>
      <c r="F872" s="125"/>
      <c r="G872" s="125"/>
      <c r="H872" s="125"/>
      <c r="I872" s="124" t="str">
        <f t="shared" si="4"/>
        <v/>
      </c>
      <c r="J872" s="119" t="s">
        <v>814</v>
      </c>
    </row>
    <row r="873">
      <c r="A873" s="125"/>
      <c r="B873" s="125"/>
      <c r="C873" s="125"/>
      <c r="D873" s="125"/>
      <c r="E873" s="125"/>
      <c r="F873" s="125"/>
      <c r="G873" s="125"/>
      <c r="H873" s="125"/>
      <c r="I873" s="124" t="str">
        <f t="shared" si="4"/>
        <v/>
      </c>
      <c r="J873" s="119" t="s">
        <v>814</v>
      </c>
    </row>
    <row r="874">
      <c r="A874" s="125"/>
      <c r="B874" s="125"/>
      <c r="C874" s="125"/>
      <c r="D874" s="125"/>
      <c r="E874" s="125"/>
      <c r="F874" s="125"/>
      <c r="G874" s="125"/>
      <c r="H874" s="125"/>
      <c r="I874" s="124" t="str">
        <f t="shared" si="4"/>
        <v/>
      </c>
      <c r="J874" s="119" t="s">
        <v>814</v>
      </c>
    </row>
    <row r="875">
      <c r="A875" s="125"/>
      <c r="B875" s="125"/>
      <c r="C875" s="125"/>
      <c r="D875" s="125"/>
      <c r="E875" s="125"/>
      <c r="F875" s="125"/>
      <c r="G875" s="125"/>
      <c r="H875" s="125"/>
      <c r="I875" s="124" t="str">
        <f t="shared" si="4"/>
        <v/>
      </c>
      <c r="J875" s="119" t="s">
        <v>814</v>
      </c>
    </row>
    <row r="876">
      <c r="A876" s="125"/>
      <c r="B876" s="125"/>
      <c r="C876" s="125"/>
      <c r="D876" s="125"/>
      <c r="E876" s="125"/>
      <c r="F876" s="125"/>
      <c r="G876" s="125"/>
      <c r="H876" s="125"/>
      <c r="I876" s="124" t="str">
        <f t="shared" si="4"/>
        <v/>
      </c>
      <c r="J876" s="119" t="s">
        <v>814</v>
      </c>
    </row>
    <row r="877">
      <c r="A877" s="125"/>
      <c r="B877" s="125"/>
      <c r="C877" s="125"/>
      <c r="D877" s="125"/>
      <c r="E877" s="125"/>
      <c r="F877" s="125"/>
      <c r="G877" s="125"/>
      <c r="H877" s="125"/>
      <c r="I877" s="124" t="str">
        <f t="shared" si="4"/>
        <v/>
      </c>
      <c r="J877" s="119" t="s">
        <v>814</v>
      </c>
    </row>
    <row r="878">
      <c r="A878" s="125"/>
      <c r="B878" s="125"/>
      <c r="C878" s="125"/>
      <c r="D878" s="125"/>
      <c r="E878" s="125"/>
      <c r="F878" s="125"/>
      <c r="G878" s="125"/>
      <c r="H878" s="125"/>
      <c r="I878" s="124" t="str">
        <f t="shared" si="4"/>
        <v/>
      </c>
      <c r="J878" s="119" t="s">
        <v>814</v>
      </c>
    </row>
    <row r="879">
      <c r="A879" s="125"/>
      <c r="B879" s="125"/>
      <c r="C879" s="125"/>
      <c r="D879" s="125"/>
      <c r="E879" s="125"/>
      <c r="F879" s="125"/>
      <c r="G879" s="125"/>
      <c r="H879" s="125"/>
      <c r="I879" s="124" t="str">
        <f t="shared" si="4"/>
        <v/>
      </c>
      <c r="J879" s="119" t="s">
        <v>814</v>
      </c>
    </row>
    <row r="880">
      <c r="A880" s="125"/>
      <c r="B880" s="125"/>
      <c r="C880" s="125"/>
      <c r="D880" s="125"/>
      <c r="E880" s="125"/>
      <c r="F880" s="125"/>
      <c r="G880" s="125"/>
      <c r="H880" s="125"/>
      <c r="I880" s="124" t="str">
        <f t="shared" si="4"/>
        <v/>
      </c>
      <c r="J880" s="119" t="s">
        <v>814</v>
      </c>
    </row>
    <row r="881">
      <c r="A881" s="125"/>
      <c r="B881" s="125"/>
      <c r="C881" s="125"/>
      <c r="D881" s="125"/>
      <c r="E881" s="125"/>
      <c r="F881" s="125"/>
      <c r="G881" s="125"/>
      <c r="H881" s="125"/>
      <c r="I881" s="124" t="str">
        <f t="shared" si="4"/>
        <v/>
      </c>
      <c r="J881" s="119" t="s">
        <v>814</v>
      </c>
    </row>
    <row r="882">
      <c r="A882" s="125"/>
      <c r="B882" s="125"/>
      <c r="C882" s="125"/>
      <c r="D882" s="125"/>
      <c r="E882" s="125"/>
      <c r="F882" s="125"/>
      <c r="G882" s="125"/>
      <c r="H882" s="125"/>
      <c r="I882" s="124" t="str">
        <f t="shared" si="4"/>
        <v/>
      </c>
      <c r="J882" s="119" t="s">
        <v>814</v>
      </c>
    </row>
    <row r="883">
      <c r="A883" s="125"/>
      <c r="B883" s="125"/>
      <c r="C883" s="125"/>
      <c r="D883" s="125"/>
      <c r="E883" s="125"/>
      <c r="F883" s="125"/>
      <c r="G883" s="125"/>
      <c r="H883" s="125"/>
      <c r="I883" s="124" t="str">
        <f t="shared" si="4"/>
        <v/>
      </c>
      <c r="J883" s="119" t="s">
        <v>814</v>
      </c>
    </row>
    <row r="884">
      <c r="A884" s="125"/>
      <c r="B884" s="125"/>
      <c r="C884" s="125"/>
      <c r="D884" s="125"/>
      <c r="E884" s="125"/>
      <c r="F884" s="125"/>
      <c r="G884" s="125"/>
      <c r="H884" s="125"/>
      <c r="I884" s="124" t="str">
        <f t="shared" si="4"/>
        <v/>
      </c>
      <c r="J884" s="119" t="s">
        <v>814</v>
      </c>
    </row>
    <row r="885">
      <c r="A885" s="125"/>
      <c r="B885" s="125"/>
      <c r="C885" s="125"/>
      <c r="D885" s="125"/>
      <c r="E885" s="125"/>
      <c r="F885" s="125"/>
      <c r="G885" s="125"/>
      <c r="H885" s="125"/>
      <c r="I885" s="124" t="str">
        <f t="shared" si="4"/>
        <v/>
      </c>
      <c r="J885" s="119" t="s">
        <v>814</v>
      </c>
    </row>
    <row r="886">
      <c r="A886" s="125"/>
      <c r="B886" s="125"/>
      <c r="C886" s="125"/>
      <c r="D886" s="125"/>
      <c r="E886" s="125"/>
      <c r="F886" s="125"/>
      <c r="G886" s="125"/>
      <c r="H886" s="125"/>
      <c r="I886" s="124" t="str">
        <f t="shared" si="4"/>
        <v/>
      </c>
      <c r="J886" s="119" t="s">
        <v>814</v>
      </c>
    </row>
    <row r="887">
      <c r="A887" s="125"/>
      <c r="B887" s="125"/>
      <c r="C887" s="125"/>
      <c r="D887" s="125"/>
      <c r="E887" s="125"/>
      <c r="F887" s="125"/>
      <c r="G887" s="125"/>
      <c r="H887" s="125"/>
      <c r="I887" s="124" t="str">
        <f t="shared" si="4"/>
        <v/>
      </c>
      <c r="J887" s="119" t="s">
        <v>814</v>
      </c>
    </row>
    <row r="888">
      <c r="A888" s="125"/>
      <c r="B888" s="125"/>
      <c r="C888" s="125"/>
      <c r="D888" s="125"/>
      <c r="E888" s="125"/>
      <c r="F888" s="125"/>
      <c r="G888" s="125"/>
      <c r="H888" s="125"/>
      <c r="I888" s="124" t="str">
        <f t="shared" si="4"/>
        <v/>
      </c>
      <c r="J888" s="119" t="s">
        <v>814</v>
      </c>
    </row>
    <row r="889">
      <c r="A889" s="125"/>
      <c r="B889" s="125"/>
      <c r="C889" s="125"/>
      <c r="D889" s="125"/>
      <c r="E889" s="125"/>
      <c r="F889" s="125"/>
      <c r="G889" s="125"/>
      <c r="H889" s="125"/>
      <c r="I889" s="124" t="str">
        <f t="shared" si="4"/>
        <v/>
      </c>
      <c r="J889" s="119" t="s">
        <v>814</v>
      </c>
    </row>
    <row r="890">
      <c r="A890" s="125"/>
      <c r="B890" s="125"/>
      <c r="C890" s="125"/>
      <c r="D890" s="125"/>
      <c r="E890" s="125"/>
      <c r="F890" s="125"/>
      <c r="G890" s="125"/>
      <c r="H890" s="125"/>
      <c r="I890" s="124" t="str">
        <f t="shared" si="4"/>
        <v/>
      </c>
      <c r="J890" s="119" t="s">
        <v>814</v>
      </c>
    </row>
    <row r="891">
      <c r="A891" s="125"/>
      <c r="B891" s="125"/>
      <c r="C891" s="125"/>
      <c r="D891" s="125"/>
      <c r="E891" s="125"/>
      <c r="F891" s="125"/>
      <c r="G891" s="125"/>
      <c r="H891" s="125"/>
      <c r="I891" s="124" t="str">
        <f t="shared" si="4"/>
        <v/>
      </c>
      <c r="J891" s="119" t="s">
        <v>814</v>
      </c>
    </row>
    <row r="892">
      <c r="A892" s="125"/>
      <c r="B892" s="125"/>
      <c r="C892" s="125"/>
      <c r="D892" s="125"/>
      <c r="E892" s="125"/>
      <c r="F892" s="125"/>
      <c r="G892" s="125"/>
      <c r="H892" s="125"/>
      <c r="I892" s="124" t="str">
        <f t="shared" si="4"/>
        <v/>
      </c>
      <c r="J892" s="119" t="s">
        <v>814</v>
      </c>
    </row>
    <row r="893">
      <c r="A893" s="125"/>
      <c r="B893" s="125"/>
      <c r="C893" s="125"/>
      <c r="D893" s="125"/>
      <c r="E893" s="125"/>
      <c r="F893" s="125"/>
      <c r="G893" s="125"/>
      <c r="H893" s="125"/>
      <c r="I893" s="124" t="str">
        <f t="shared" si="4"/>
        <v/>
      </c>
      <c r="J893" s="119" t="s">
        <v>814</v>
      </c>
    </row>
    <row r="894">
      <c r="A894" s="125"/>
      <c r="B894" s="125"/>
      <c r="C894" s="125"/>
      <c r="D894" s="125"/>
      <c r="E894" s="125"/>
      <c r="F894" s="125"/>
      <c r="G894" s="125"/>
      <c r="H894" s="125"/>
      <c r="I894" s="124" t="str">
        <f t="shared" si="4"/>
        <v/>
      </c>
      <c r="J894" s="119" t="s">
        <v>814</v>
      </c>
    </row>
    <row r="895">
      <c r="A895" s="125"/>
      <c r="B895" s="125"/>
      <c r="C895" s="125"/>
      <c r="D895" s="125"/>
      <c r="E895" s="125"/>
      <c r="F895" s="125"/>
      <c r="G895" s="125"/>
      <c r="H895" s="125"/>
      <c r="I895" s="124" t="str">
        <f t="shared" si="4"/>
        <v/>
      </c>
      <c r="J895" s="119" t="s">
        <v>814</v>
      </c>
    </row>
    <row r="896">
      <c r="A896" s="125"/>
      <c r="B896" s="125"/>
      <c r="C896" s="125"/>
      <c r="D896" s="125"/>
      <c r="E896" s="125"/>
      <c r="F896" s="125"/>
      <c r="G896" s="125"/>
      <c r="H896" s="125"/>
      <c r="I896" s="124" t="str">
        <f t="shared" si="4"/>
        <v/>
      </c>
      <c r="J896" s="119" t="s">
        <v>814</v>
      </c>
    </row>
    <row r="897">
      <c r="A897" s="125"/>
      <c r="B897" s="125"/>
      <c r="C897" s="125"/>
      <c r="D897" s="125"/>
      <c r="E897" s="125"/>
      <c r="F897" s="125"/>
      <c r="G897" s="125"/>
      <c r="H897" s="125"/>
      <c r="I897" s="124" t="str">
        <f t="shared" si="4"/>
        <v/>
      </c>
      <c r="J897" s="119" t="s">
        <v>814</v>
      </c>
    </row>
    <row r="898">
      <c r="A898" s="125"/>
      <c r="B898" s="125"/>
      <c r="C898" s="125"/>
      <c r="D898" s="125"/>
      <c r="E898" s="125"/>
      <c r="F898" s="125"/>
      <c r="G898" s="125"/>
      <c r="H898" s="125"/>
      <c r="I898" s="124" t="str">
        <f t="shared" si="4"/>
        <v/>
      </c>
      <c r="J898" s="119" t="s">
        <v>814</v>
      </c>
    </row>
    <row r="899">
      <c r="A899" s="125"/>
      <c r="B899" s="125"/>
      <c r="C899" s="125"/>
      <c r="D899" s="125"/>
      <c r="E899" s="125"/>
      <c r="F899" s="125"/>
      <c r="G899" s="125"/>
      <c r="H899" s="125"/>
      <c r="I899" s="124" t="str">
        <f t="shared" si="4"/>
        <v/>
      </c>
      <c r="J899" s="119" t="s">
        <v>814</v>
      </c>
    </row>
    <row r="900">
      <c r="A900" s="125"/>
      <c r="B900" s="125"/>
      <c r="C900" s="125"/>
      <c r="D900" s="125"/>
      <c r="E900" s="125"/>
      <c r="F900" s="125"/>
      <c r="G900" s="125"/>
      <c r="H900" s="125"/>
      <c r="I900" s="124" t="str">
        <f t="shared" si="4"/>
        <v/>
      </c>
      <c r="J900" s="119" t="s">
        <v>814</v>
      </c>
    </row>
    <row r="901">
      <c r="A901" s="125"/>
      <c r="B901" s="125"/>
      <c r="C901" s="125"/>
      <c r="D901" s="125"/>
      <c r="E901" s="125"/>
      <c r="F901" s="125"/>
      <c r="G901" s="125"/>
      <c r="H901" s="125"/>
      <c r="I901" s="124" t="str">
        <f t="shared" si="4"/>
        <v/>
      </c>
      <c r="J901" s="119" t="s">
        <v>814</v>
      </c>
    </row>
    <row r="902">
      <c r="A902" s="125"/>
      <c r="B902" s="125"/>
      <c r="C902" s="125"/>
      <c r="D902" s="125"/>
      <c r="E902" s="125"/>
      <c r="F902" s="125"/>
      <c r="G902" s="125"/>
      <c r="H902" s="125"/>
      <c r="I902" s="124" t="str">
        <f t="shared" si="4"/>
        <v/>
      </c>
      <c r="J902" s="119" t="s">
        <v>814</v>
      </c>
    </row>
    <row r="903">
      <c r="A903" s="125"/>
      <c r="B903" s="125"/>
      <c r="C903" s="125"/>
      <c r="D903" s="125"/>
      <c r="E903" s="125"/>
      <c r="F903" s="125"/>
      <c r="G903" s="125"/>
      <c r="H903" s="125"/>
      <c r="I903" s="124" t="str">
        <f t="shared" si="4"/>
        <v/>
      </c>
      <c r="J903" s="119" t="s">
        <v>814</v>
      </c>
    </row>
    <row r="904">
      <c r="A904" s="125"/>
      <c r="B904" s="125"/>
      <c r="C904" s="125"/>
      <c r="D904" s="125"/>
      <c r="E904" s="125"/>
      <c r="F904" s="125"/>
      <c r="G904" s="125"/>
      <c r="H904" s="125"/>
      <c r="I904" s="124" t="str">
        <f t="shared" si="4"/>
        <v/>
      </c>
      <c r="J904" s="119" t="s">
        <v>814</v>
      </c>
    </row>
    <row r="905">
      <c r="A905" s="125"/>
      <c r="B905" s="125"/>
      <c r="C905" s="125"/>
      <c r="D905" s="125"/>
      <c r="E905" s="125"/>
      <c r="F905" s="125"/>
      <c r="G905" s="125"/>
      <c r="H905" s="125"/>
      <c r="I905" s="124" t="str">
        <f t="shared" si="4"/>
        <v/>
      </c>
      <c r="J905" s="119" t="s">
        <v>814</v>
      </c>
    </row>
    <row r="906">
      <c r="A906" s="125"/>
      <c r="B906" s="125"/>
      <c r="C906" s="125"/>
      <c r="D906" s="125"/>
      <c r="E906" s="125"/>
      <c r="F906" s="125"/>
      <c r="G906" s="125"/>
      <c r="H906" s="125"/>
      <c r="I906" s="124" t="str">
        <f t="shared" si="4"/>
        <v/>
      </c>
      <c r="J906" s="119" t="s">
        <v>814</v>
      </c>
    </row>
    <row r="907">
      <c r="A907" s="125"/>
      <c r="B907" s="125"/>
      <c r="C907" s="125"/>
      <c r="D907" s="125"/>
      <c r="E907" s="125"/>
      <c r="F907" s="125"/>
      <c r="G907" s="125"/>
      <c r="H907" s="125"/>
      <c r="I907" s="124" t="str">
        <f t="shared" si="4"/>
        <v/>
      </c>
      <c r="J907" s="119" t="s">
        <v>814</v>
      </c>
    </row>
    <row r="908">
      <c r="A908" s="125"/>
      <c r="B908" s="125"/>
      <c r="C908" s="125"/>
      <c r="D908" s="125"/>
      <c r="E908" s="125"/>
      <c r="F908" s="125"/>
      <c r="G908" s="125"/>
      <c r="H908" s="125"/>
      <c r="I908" s="124" t="str">
        <f t="shared" si="4"/>
        <v/>
      </c>
      <c r="J908" s="119" t="s">
        <v>814</v>
      </c>
    </row>
    <row r="909">
      <c r="A909" s="125"/>
      <c r="B909" s="125"/>
      <c r="C909" s="125"/>
      <c r="D909" s="125"/>
      <c r="E909" s="125"/>
      <c r="F909" s="125"/>
      <c r="G909" s="125"/>
      <c r="H909" s="125"/>
      <c r="I909" s="124" t="str">
        <f t="shared" si="4"/>
        <v/>
      </c>
      <c r="J909" s="119" t="s">
        <v>814</v>
      </c>
    </row>
    <row r="910">
      <c r="A910" s="125"/>
      <c r="B910" s="125"/>
      <c r="C910" s="125"/>
      <c r="D910" s="125"/>
      <c r="E910" s="125"/>
      <c r="F910" s="125"/>
      <c r="G910" s="125"/>
      <c r="H910" s="125"/>
      <c r="I910" s="124" t="str">
        <f t="shared" si="4"/>
        <v/>
      </c>
      <c r="J910" s="119" t="s">
        <v>814</v>
      </c>
    </row>
    <row r="911">
      <c r="A911" s="125"/>
      <c r="B911" s="125"/>
      <c r="C911" s="125"/>
      <c r="D911" s="125"/>
      <c r="E911" s="125"/>
      <c r="F911" s="125"/>
      <c r="G911" s="125"/>
      <c r="H911" s="125"/>
      <c r="I911" s="124" t="str">
        <f t="shared" si="4"/>
        <v/>
      </c>
      <c r="J911" s="119" t="s">
        <v>814</v>
      </c>
    </row>
    <row r="912">
      <c r="A912" s="125"/>
      <c r="B912" s="125"/>
      <c r="C912" s="125"/>
      <c r="D912" s="125"/>
      <c r="E912" s="125"/>
      <c r="F912" s="125"/>
      <c r="G912" s="125"/>
      <c r="H912" s="125"/>
      <c r="I912" s="124" t="str">
        <f t="shared" si="4"/>
        <v/>
      </c>
      <c r="J912" s="119" t="s">
        <v>814</v>
      </c>
    </row>
    <row r="913">
      <c r="A913" s="125"/>
      <c r="B913" s="125"/>
      <c r="C913" s="125"/>
      <c r="D913" s="125"/>
      <c r="E913" s="125"/>
      <c r="F913" s="125"/>
      <c r="G913" s="125"/>
      <c r="H913" s="125"/>
      <c r="I913" s="124" t="str">
        <f t="shared" si="4"/>
        <v/>
      </c>
      <c r="J913" s="119" t="s">
        <v>814</v>
      </c>
    </row>
    <row r="914">
      <c r="A914" s="125"/>
      <c r="B914" s="125"/>
      <c r="C914" s="125"/>
      <c r="D914" s="125"/>
      <c r="E914" s="125"/>
      <c r="F914" s="125"/>
      <c r="G914" s="125"/>
      <c r="H914" s="125"/>
      <c r="I914" s="124" t="str">
        <f t="shared" si="4"/>
        <v/>
      </c>
      <c r="J914" s="119" t="s">
        <v>814</v>
      </c>
    </row>
    <row r="915">
      <c r="A915" s="125"/>
      <c r="B915" s="125"/>
      <c r="C915" s="125"/>
      <c r="D915" s="125"/>
      <c r="E915" s="125"/>
      <c r="F915" s="125"/>
      <c r="G915" s="125"/>
      <c r="H915" s="125"/>
      <c r="I915" s="124" t="str">
        <f t="shared" si="4"/>
        <v/>
      </c>
      <c r="J915" s="119" t="s">
        <v>814</v>
      </c>
    </row>
    <row r="916">
      <c r="A916" s="125"/>
      <c r="B916" s="125"/>
      <c r="C916" s="125"/>
      <c r="D916" s="125"/>
      <c r="E916" s="125"/>
      <c r="F916" s="125"/>
      <c r="G916" s="125"/>
      <c r="H916" s="125"/>
      <c r="I916" s="124" t="str">
        <f t="shared" si="4"/>
        <v/>
      </c>
      <c r="J916" s="119" t="s">
        <v>814</v>
      </c>
    </row>
    <row r="917">
      <c r="A917" s="125"/>
      <c r="B917" s="125"/>
      <c r="C917" s="125"/>
      <c r="D917" s="125"/>
      <c r="E917" s="125"/>
      <c r="F917" s="125"/>
      <c r="G917" s="125"/>
      <c r="H917" s="125"/>
      <c r="I917" s="124" t="str">
        <f t="shared" si="4"/>
        <v/>
      </c>
      <c r="J917" s="119" t="s">
        <v>814</v>
      </c>
    </row>
    <row r="918">
      <c r="A918" s="125"/>
      <c r="B918" s="125"/>
      <c r="C918" s="125"/>
      <c r="D918" s="125"/>
      <c r="E918" s="125"/>
      <c r="F918" s="125"/>
      <c r="G918" s="125"/>
      <c r="H918" s="125"/>
      <c r="I918" s="124" t="str">
        <f t="shared" si="4"/>
        <v/>
      </c>
      <c r="J918" s="119" t="s">
        <v>814</v>
      </c>
    </row>
    <row r="919">
      <c r="A919" s="125"/>
      <c r="B919" s="125"/>
      <c r="C919" s="125"/>
      <c r="D919" s="125"/>
      <c r="E919" s="125"/>
      <c r="F919" s="125"/>
      <c r="G919" s="125"/>
      <c r="H919" s="125"/>
      <c r="I919" s="124" t="str">
        <f t="shared" si="4"/>
        <v/>
      </c>
      <c r="J919" s="119" t="s">
        <v>814</v>
      </c>
    </row>
    <row r="920">
      <c r="A920" s="125"/>
      <c r="B920" s="125"/>
      <c r="C920" s="125"/>
      <c r="D920" s="125"/>
      <c r="E920" s="125"/>
      <c r="F920" s="125"/>
      <c r="G920" s="125"/>
      <c r="H920" s="125"/>
      <c r="I920" s="124" t="str">
        <f t="shared" si="4"/>
        <v/>
      </c>
      <c r="J920" s="119" t="s">
        <v>814</v>
      </c>
    </row>
    <row r="921">
      <c r="A921" s="125"/>
      <c r="B921" s="125"/>
      <c r="C921" s="125"/>
      <c r="D921" s="125"/>
      <c r="E921" s="125"/>
      <c r="F921" s="125"/>
      <c r="G921" s="125"/>
      <c r="H921" s="125"/>
      <c r="I921" s="124" t="str">
        <f t="shared" si="4"/>
        <v/>
      </c>
      <c r="J921" s="119" t="s">
        <v>814</v>
      </c>
    </row>
    <row r="922">
      <c r="A922" s="125"/>
      <c r="B922" s="125"/>
      <c r="C922" s="125"/>
      <c r="D922" s="125"/>
      <c r="E922" s="125"/>
      <c r="F922" s="125"/>
      <c r="G922" s="125"/>
      <c r="H922" s="125"/>
      <c r="I922" s="124" t="str">
        <f t="shared" si="4"/>
        <v/>
      </c>
      <c r="J922" s="119" t="s">
        <v>814</v>
      </c>
    </row>
    <row r="923">
      <c r="A923" s="125"/>
      <c r="B923" s="125"/>
      <c r="C923" s="125"/>
      <c r="D923" s="125"/>
      <c r="E923" s="125"/>
      <c r="F923" s="125"/>
      <c r="G923" s="125"/>
      <c r="H923" s="125"/>
      <c r="I923" s="124" t="str">
        <f t="shared" si="4"/>
        <v/>
      </c>
      <c r="J923" s="119" t="s">
        <v>814</v>
      </c>
    </row>
    <row r="924">
      <c r="A924" s="125"/>
      <c r="B924" s="125"/>
      <c r="C924" s="125"/>
      <c r="D924" s="125"/>
      <c r="E924" s="125"/>
      <c r="F924" s="125"/>
      <c r="G924" s="125"/>
      <c r="H924" s="125"/>
      <c r="I924" s="124" t="str">
        <f t="shared" si="4"/>
        <v/>
      </c>
      <c r="J924" s="119" t="s">
        <v>814</v>
      </c>
    </row>
    <row r="925">
      <c r="A925" s="125"/>
      <c r="B925" s="125"/>
      <c r="C925" s="125"/>
      <c r="D925" s="125"/>
      <c r="E925" s="125"/>
      <c r="F925" s="125"/>
      <c r="G925" s="125"/>
      <c r="H925" s="125"/>
      <c r="I925" s="124" t="str">
        <f t="shared" si="4"/>
        <v/>
      </c>
      <c r="J925" s="119" t="s">
        <v>814</v>
      </c>
    </row>
    <row r="926">
      <c r="A926" s="125"/>
      <c r="B926" s="125"/>
      <c r="C926" s="125"/>
      <c r="D926" s="125"/>
      <c r="E926" s="125"/>
      <c r="F926" s="125"/>
      <c r="G926" s="125"/>
      <c r="H926" s="125"/>
      <c r="I926" s="124" t="str">
        <f t="shared" si="4"/>
        <v/>
      </c>
      <c r="J926" s="119" t="s">
        <v>814</v>
      </c>
    </row>
    <row r="927">
      <c r="A927" s="125"/>
      <c r="B927" s="125"/>
      <c r="C927" s="125"/>
      <c r="D927" s="125"/>
      <c r="E927" s="125"/>
      <c r="F927" s="125"/>
      <c r="G927" s="125"/>
      <c r="H927" s="125"/>
      <c r="I927" s="124" t="str">
        <f t="shared" si="4"/>
        <v/>
      </c>
      <c r="J927" s="119" t="s">
        <v>814</v>
      </c>
    </row>
    <row r="928">
      <c r="A928" s="125"/>
      <c r="B928" s="125"/>
      <c r="C928" s="125"/>
      <c r="D928" s="125"/>
      <c r="E928" s="125"/>
      <c r="F928" s="125"/>
      <c r="G928" s="125"/>
      <c r="H928" s="125"/>
      <c r="I928" s="124" t="str">
        <f t="shared" si="4"/>
        <v/>
      </c>
      <c r="J928" s="119" t="s">
        <v>814</v>
      </c>
    </row>
    <row r="929">
      <c r="A929" s="125"/>
      <c r="B929" s="125"/>
      <c r="C929" s="125"/>
      <c r="D929" s="125"/>
      <c r="E929" s="125"/>
      <c r="F929" s="125"/>
      <c r="G929" s="125"/>
      <c r="H929" s="125"/>
      <c r="I929" s="124" t="str">
        <f t="shared" si="4"/>
        <v/>
      </c>
      <c r="J929" s="119" t="s">
        <v>814</v>
      </c>
    </row>
    <row r="930">
      <c r="A930" s="125"/>
      <c r="B930" s="125"/>
      <c r="C930" s="125"/>
      <c r="D930" s="125"/>
      <c r="E930" s="125"/>
      <c r="F930" s="125"/>
      <c r="G930" s="125"/>
      <c r="H930" s="125"/>
      <c r="I930" s="124" t="str">
        <f t="shared" si="4"/>
        <v/>
      </c>
      <c r="J930" s="119" t="s">
        <v>814</v>
      </c>
    </row>
    <row r="931">
      <c r="A931" s="125"/>
      <c r="B931" s="125"/>
      <c r="C931" s="125"/>
      <c r="D931" s="125"/>
      <c r="E931" s="125"/>
      <c r="F931" s="125"/>
      <c r="G931" s="125"/>
      <c r="H931" s="125"/>
      <c r="I931" s="124" t="str">
        <f t="shared" si="4"/>
        <v/>
      </c>
      <c r="J931" s="119" t="s">
        <v>814</v>
      </c>
    </row>
    <row r="932">
      <c r="A932" s="125"/>
      <c r="B932" s="125"/>
      <c r="C932" s="125"/>
      <c r="D932" s="125"/>
      <c r="E932" s="125"/>
      <c r="F932" s="125"/>
      <c r="G932" s="125"/>
      <c r="H932" s="125"/>
      <c r="I932" s="124" t="str">
        <f t="shared" si="4"/>
        <v/>
      </c>
      <c r="J932" s="119" t="s">
        <v>814</v>
      </c>
    </row>
    <row r="933">
      <c r="A933" s="125"/>
      <c r="B933" s="125"/>
      <c r="C933" s="125"/>
      <c r="D933" s="125"/>
      <c r="E933" s="125"/>
      <c r="F933" s="125"/>
      <c r="G933" s="125"/>
      <c r="H933" s="125"/>
      <c r="I933" s="124" t="str">
        <f t="shared" si="4"/>
        <v/>
      </c>
      <c r="J933" s="119" t="s">
        <v>814</v>
      </c>
    </row>
    <row r="934">
      <c r="A934" s="125"/>
      <c r="B934" s="125"/>
      <c r="C934" s="125"/>
      <c r="D934" s="125"/>
      <c r="E934" s="125"/>
      <c r="F934" s="125"/>
      <c r="G934" s="125"/>
      <c r="H934" s="125"/>
      <c r="I934" s="124" t="str">
        <f t="shared" si="4"/>
        <v/>
      </c>
      <c r="J934" s="119" t="s">
        <v>814</v>
      </c>
    </row>
    <row r="935">
      <c r="A935" s="125"/>
      <c r="B935" s="125"/>
      <c r="C935" s="125"/>
      <c r="D935" s="125"/>
      <c r="E935" s="125"/>
      <c r="F935" s="125"/>
      <c r="G935" s="125"/>
      <c r="H935" s="125"/>
      <c r="I935" s="124" t="str">
        <f t="shared" si="4"/>
        <v/>
      </c>
      <c r="J935" s="119" t="s">
        <v>814</v>
      </c>
    </row>
    <row r="936">
      <c r="A936" s="125"/>
      <c r="B936" s="125"/>
      <c r="C936" s="125"/>
      <c r="D936" s="125"/>
      <c r="E936" s="125"/>
      <c r="F936" s="125"/>
      <c r="G936" s="125"/>
      <c r="H936" s="125"/>
      <c r="I936" s="124" t="str">
        <f t="shared" si="4"/>
        <v/>
      </c>
      <c r="J936" s="119" t="s">
        <v>814</v>
      </c>
    </row>
    <row r="937">
      <c r="A937" s="125"/>
      <c r="B937" s="125"/>
      <c r="C937" s="125"/>
      <c r="D937" s="125"/>
      <c r="E937" s="125"/>
      <c r="F937" s="125"/>
      <c r="G937" s="125"/>
      <c r="H937" s="125"/>
      <c r="I937" s="124" t="str">
        <f t="shared" si="4"/>
        <v/>
      </c>
      <c r="J937" s="119" t="s">
        <v>814</v>
      </c>
    </row>
    <row r="938">
      <c r="A938" s="125"/>
      <c r="B938" s="125"/>
      <c r="C938" s="125"/>
      <c r="D938" s="125"/>
      <c r="E938" s="125"/>
      <c r="F938" s="125"/>
      <c r="G938" s="125"/>
      <c r="H938" s="125"/>
      <c r="I938" s="124" t="str">
        <f t="shared" si="4"/>
        <v/>
      </c>
      <c r="J938" s="119" t="s">
        <v>814</v>
      </c>
    </row>
    <row r="939">
      <c r="A939" s="125"/>
      <c r="B939" s="125"/>
      <c r="C939" s="125"/>
      <c r="D939" s="125"/>
      <c r="E939" s="125"/>
      <c r="F939" s="125"/>
      <c r="G939" s="125"/>
      <c r="H939" s="125"/>
      <c r="I939" s="124" t="str">
        <f t="shared" si="4"/>
        <v/>
      </c>
      <c r="J939" s="119" t="s">
        <v>814</v>
      </c>
    </row>
    <row r="940">
      <c r="A940" s="125"/>
      <c r="B940" s="125"/>
      <c r="C940" s="125"/>
      <c r="D940" s="125"/>
      <c r="E940" s="125"/>
      <c r="F940" s="125"/>
      <c r="G940" s="125"/>
      <c r="H940" s="125"/>
      <c r="I940" s="124" t="str">
        <f t="shared" si="4"/>
        <v/>
      </c>
      <c r="J940" s="119" t="s">
        <v>814</v>
      </c>
    </row>
    <row r="941">
      <c r="A941" s="125"/>
      <c r="B941" s="125"/>
      <c r="C941" s="125"/>
      <c r="D941" s="125"/>
      <c r="E941" s="125"/>
      <c r="F941" s="125"/>
      <c r="G941" s="125"/>
      <c r="H941" s="125"/>
      <c r="I941" s="124" t="str">
        <f t="shared" si="4"/>
        <v/>
      </c>
      <c r="J941" s="119" t="s">
        <v>814</v>
      </c>
    </row>
    <row r="942">
      <c r="A942" s="125"/>
      <c r="B942" s="125"/>
      <c r="C942" s="125"/>
      <c r="D942" s="125"/>
      <c r="E942" s="125"/>
      <c r="F942" s="125"/>
      <c r="G942" s="125"/>
      <c r="H942" s="125"/>
      <c r="I942" s="124" t="str">
        <f t="shared" si="4"/>
        <v/>
      </c>
      <c r="J942" s="119" t="s">
        <v>814</v>
      </c>
    </row>
    <row r="943">
      <c r="A943" s="125"/>
      <c r="B943" s="125"/>
      <c r="C943" s="125"/>
      <c r="D943" s="125"/>
      <c r="E943" s="125"/>
      <c r="F943" s="125"/>
      <c r="G943" s="125"/>
      <c r="H943" s="125"/>
      <c r="I943" s="124" t="str">
        <f t="shared" si="4"/>
        <v/>
      </c>
      <c r="J943" s="119" t="s">
        <v>814</v>
      </c>
    </row>
    <row r="944">
      <c r="A944" s="125"/>
      <c r="B944" s="125"/>
      <c r="C944" s="125"/>
      <c r="D944" s="125"/>
      <c r="E944" s="125"/>
      <c r="F944" s="125"/>
      <c r="G944" s="125"/>
      <c r="H944" s="125"/>
      <c r="I944" s="124" t="str">
        <f t="shared" si="4"/>
        <v/>
      </c>
      <c r="J944" s="119" t="s">
        <v>814</v>
      </c>
    </row>
    <row r="945">
      <c r="A945" s="125"/>
      <c r="B945" s="125"/>
      <c r="C945" s="125"/>
      <c r="D945" s="125"/>
      <c r="E945" s="125"/>
      <c r="F945" s="125"/>
      <c r="G945" s="125"/>
      <c r="H945" s="125"/>
      <c r="I945" s="124" t="str">
        <f t="shared" si="4"/>
        <v/>
      </c>
      <c r="J945" s="119" t="s">
        <v>814</v>
      </c>
    </row>
    <row r="946">
      <c r="A946" s="125"/>
      <c r="B946" s="125"/>
      <c r="C946" s="125"/>
      <c r="D946" s="125"/>
      <c r="E946" s="125"/>
      <c r="F946" s="125"/>
      <c r="G946" s="125"/>
      <c r="H946" s="125"/>
      <c r="I946" s="124" t="str">
        <f t="shared" si="4"/>
        <v/>
      </c>
      <c r="J946" s="119" t="s">
        <v>814</v>
      </c>
    </row>
    <row r="947">
      <c r="A947" s="125"/>
      <c r="B947" s="125"/>
      <c r="C947" s="125"/>
      <c r="D947" s="125"/>
      <c r="E947" s="125"/>
      <c r="F947" s="125"/>
      <c r="G947" s="125"/>
      <c r="H947" s="125"/>
      <c r="I947" s="124" t="str">
        <f t="shared" si="4"/>
        <v/>
      </c>
      <c r="J947" s="119" t="s">
        <v>814</v>
      </c>
    </row>
    <row r="948">
      <c r="A948" s="125"/>
      <c r="B948" s="125"/>
      <c r="C948" s="125"/>
      <c r="D948" s="125"/>
      <c r="E948" s="125"/>
      <c r="F948" s="125"/>
      <c r="G948" s="125"/>
      <c r="H948" s="125"/>
      <c r="I948" s="124" t="str">
        <f t="shared" si="4"/>
        <v/>
      </c>
      <c r="J948" s="119" t="s">
        <v>814</v>
      </c>
    </row>
    <row r="949">
      <c r="A949" s="125"/>
      <c r="B949" s="125"/>
      <c r="C949" s="125"/>
      <c r="D949" s="125"/>
      <c r="E949" s="125"/>
      <c r="F949" s="125"/>
      <c r="G949" s="125"/>
      <c r="H949" s="125"/>
      <c r="I949" s="124" t="str">
        <f t="shared" si="4"/>
        <v/>
      </c>
      <c r="J949" s="119" t="s">
        <v>814</v>
      </c>
    </row>
    <row r="950">
      <c r="A950" s="125"/>
      <c r="B950" s="125"/>
      <c r="C950" s="125"/>
      <c r="D950" s="125"/>
      <c r="E950" s="125"/>
      <c r="F950" s="125"/>
      <c r="G950" s="125"/>
      <c r="H950" s="125"/>
      <c r="I950" s="124" t="str">
        <f t="shared" si="4"/>
        <v/>
      </c>
      <c r="J950" s="119" t="s">
        <v>814</v>
      </c>
    </row>
    <row r="951">
      <c r="A951" s="125"/>
      <c r="B951" s="125"/>
      <c r="C951" s="125"/>
      <c r="D951" s="125"/>
      <c r="E951" s="125"/>
      <c r="F951" s="125"/>
      <c r="G951" s="125"/>
      <c r="H951" s="125"/>
      <c r="I951" s="124" t="str">
        <f t="shared" si="4"/>
        <v/>
      </c>
      <c r="J951" s="119" t="s">
        <v>814</v>
      </c>
    </row>
    <row r="952">
      <c r="A952" s="125"/>
      <c r="B952" s="125"/>
      <c r="C952" s="125"/>
      <c r="D952" s="125"/>
      <c r="E952" s="125"/>
      <c r="F952" s="125"/>
      <c r="G952" s="125"/>
      <c r="H952" s="125"/>
      <c r="I952" s="124" t="str">
        <f t="shared" si="4"/>
        <v/>
      </c>
      <c r="J952" s="119" t="s">
        <v>814</v>
      </c>
    </row>
    <row r="953">
      <c r="A953" s="125"/>
      <c r="B953" s="125"/>
      <c r="C953" s="125"/>
      <c r="D953" s="125"/>
      <c r="E953" s="125"/>
      <c r="F953" s="125"/>
      <c r="G953" s="125"/>
      <c r="H953" s="125"/>
      <c r="I953" s="124" t="str">
        <f t="shared" si="4"/>
        <v/>
      </c>
      <c r="J953" s="119" t="s">
        <v>814</v>
      </c>
    </row>
    <row r="954">
      <c r="A954" s="125"/>
      <c r="B954" s="125"/>
      <c r="C954" s="125"/>
      <c r="D954" s="125"/>
      <c r="E954" s="125"/>
      <c r="F954" s="125"/>
      <c r="G954" s="125"/>
      <c r="H954" s="125"/>
      <c r="I954" s="124" t="str">
        <f t="shared" si="4"/>
        <v/>
      </c>
      <c r="J954" s="119" t="s">
        <v>814</v>
      </c>
    </row>
    <row r="955">
      <c r="A955" s="125"/>
      <c r="B955" s="125"/>
      <c r="C955" s="125"/>
      <c r="D955" s="125"/>
      <c r="E955" s="125"/>
      <c r="F955" s="125"/>
      <c r="G955" s="125"/>
      <c r="H955" s="125"/>
      <c r="I955" s="124" t="str">
        <f t="shared" si="4"/>
        <v/>
      </c>
      <c r="J955" s="119" t="s">
        <v>814</v>
      </c>
    </row>
    <row r="956">
      <c r="A956" s="125"/>
      <c r="B956" s="125"/>
      <c r="C956" s="125"/>
      <c r="D956" s="125"/>
      <c r="E956" s="125"/>
      <c r="F956" s="125"/>
      <c r="G956" s="125"/>
      <c r="H956" s="125"/>
      <c r="I956" s="124" t="str">
        <f t="shared" si="4"/>
        <v/>
      </c>
      <c r="J956" s="119" t="s">
        <v>814</v>
      </c>
    </row>
    <row r="957">
      <c r="A957" s="125"/>
      <c r="B957" s="125"/>
      <c r="C957" s="125"/>
      <c r="D957" s="125"/>
      <c r="E957" s="125"/>
      <c r="F957" s="125"/>
      <c r="G957" s="125"/>
      <c r="H957" s="125"/>
      <c r="I957" s="124" t="str">
        <f t="shared" si="4"/>
        <v/>
      </c>
      <c r="J957" s="119" t="s">
        <v>814</v>
      </c>
    </row>
    <row r="958">
      <c r="A958" s="125"/>
      <c r="B958" s="125"/>
      <c r="C958" s="125"/>
      <c r="D958" s="125"/>
      <c r="E958" s="125"/>
      <c r="F958" s="125"/>
      <c r="G958" s="125"/>
      <c r="H958" s="125"/>
      <c r="I958" s="124" t="str">
        <f t="shared" si="4"/>
        <v/>
      </c>
      <c r="J958" s="119" t="s">
        <v>814</v>
      </c>
    </row>
    <row r="959">
      <c r="A959" s="125"/>
      <c r="B959" s="125"/>
      <c r="C959" s="125"/>
      <c r="D959" s="125"/>
      <c r="E959" s="125"/>
      <c r="F959" s="125"/>
      <c r="G959" s="125"/>
      <c r="H959" s="125"/>
      <c r="I959" s="124" t="str">
        <f t="shared" si="4"/>
        <v/>
      </c>
      <c r="J959" s="119" t="s">
        <v>814</v>
      </c>
    </row>
    <row r="960">
      <c r="A960" s="125"/>
      <c r="B960" s="125"/>
      <c r="C960" s="125"/>
      <c r="D960" s="125"/>
      <c r="E960" s="125"/>
      <c r="F960" s="125"/>
      <c r="G960" s="125"/>
      <c r="H960" s="125"/>
      <c r="I960" s="124" t="str">
        <f t="shared" si="4"/>
        <v/>
      </c>
      <c r="J960" s="119" t="s">
        <v>814</v>
      </c>
    </row>
    <row r="961">
      <c r="A961" s="125"/>
      <c r="B961" s="125"/>
      <c r="C961" s="125"/>
      <c r="D961" s="125"/>
      <c r="E961" s="125"/>
      <c r="F961" s="125"/>
      <c r="G961" s="125"/>
      <c r="H961" s="125"/>
      <c r="I961" s="124" t="str">
        <f t="shared" si="4"/>
        <v/>
      </c>
      <c r="J961" s="119" t="s">
        <v>814</v>
      </c>
    </row>
    <row r="962">
      <c r="A962" s="125"/>
      <c r="B962" s="125"/>
      <c r="C962" s="125"/>
      <c r="D962" s="125"/>
      <c r="E962" s="125"/>
      <c r="F962" s="125"/>
      <c r="G962" s="125"/>
      <c r="H962" s="125"/>
      <c r="I962" s="124" t="str">
        <f t="shared" si="4"/>
        <v/>
      </c>
      <c r="J962" s="119" t="s">
        <v>814</v>
      </c>
    </row>
    <row r="963">
      <c r="A963" s="125"/>
      <c r="B963" s="125"/>
      <c r="C963" s="125"/>
      <c r="D963" s="125"/>
      <c r="E963" s="125"/>
      <c r="F963" s="125"/>
      <c r="G963" s="125"/>
      <c r="H963" s="125"/>
      <c r="I963" s="124" t="str">
        <f t="shared" si="4"/>
        <v/>
      </c>
      <c r="J963" s="119" t="s">
        <v>814</v>
      </c>
    </row>
    <row r="964">
      <c r="A964" s="125"/>
      <c r="B964" s="125"/>
      <c r="C964" s="125"/>
      <c r="D964" s="125"/>
      <c r="E964" s="125"/>
      <c r="F964" s="125"/>
      <c r="G964" s="125"/>
      <c r="H964" s="125"/>
      <c r="I964" s="124" t="str">
        <f t="shared" si="4"/>
        <v/>
      </c>
      <c r="J964" s="119" t="s">
        <v>814</v>
      </c>
    </row>
    <row r="965">
      <c r="A965" s="125"/>
      <c r="B965" s="125"/>
      <c r="C965" s="125"/>
      <c r="D965" s="125"/>
      <c r="E965" s="125"/>
      <c r="F965" s="125"/>
      <c r="G965" s="125"/>
      <c r="H965" s="125"/>
      <c r="I965" s="124" t="str">
        <f t="shared" si="4"/>
        <v/>
      </c>
      <c r="J965" s="119" t="s">
        <v>814</v>
      </c>
    </row>
    <row r="966">
      <c r="A966" s="125"/>
      <c r="B966" s="125"/>
      <c r="C966" s="125"/>
      <c r="D966" s="125"/>
      <c r="E966" s="125"/>
      <c r="F966" s="125"/>
      <c r="G966" s="125"/>
      <c r="H966" s="125"/>
      <c r="I966" s="124" t="str">
        <f t="shared" si="4"/>
        <v/>
      </c>
      <c r="J966" s="119" t="s">
        <v>814</v>
      </c>
    </row>
    <row r="967">
      <c r="A967" s="125"/>
      <c r="B967" s="125"/>
      <c r="C967" s="125"/>
      <c r="D967" s="125"/>
      <c r="E967" s="125"/>
      <c r="F967" s="125"/>
      <c r="G967" s="125"/>
      <c r="H967" s="125"/>
      <c r="I967" s="124" t="str">
        <f t="shared" si="4"/>
        <v/>
      </c>
      <c r="J967" s="119" t="s">
        <v>814</v>
      </c>
    </row>
    <row r="968">
      <c r="A968" s="125"/>
      <c r="B968" s="125"/>
      <c r="C968" s="125"/>
      <c r="D968" s="125"/>
      <c r="E968" s="125"/>
      <c r="F968" s="125"/>
      <c r="G968" s="125"/>
      <c r="H968" s="125"/>
      <c r="I968" s="124" t="str">
        <f t="shared" si="4"/>
        <v/>
      </c>
      <c r="J968" s="119" t="s">
        <v>814</v>
      </c>
    </row>
    <row r="969">
      <c r="A969" s="125"/>
      <c r="B969" s="125"/>
      <c r="C969" s="125"/>
      <c r="D969" s="125"/>
      <c r="E969" s="125"/>
      <c r="F969" s="125"/>
      <c r="G969" s="125"/>
      <c r="H969" s="125"/>
      <c r="I969" s="124" t="str">
        <f t="shared" si="4"/>
        <v/>
      </c>
      <c r="J969" s="119" t="s">
        <v>814</v>
      </c>
    </row>
    <row r="970">
      <c r="A970" s="125"/>
      <c r="B970" s="125"/>
      <c r="C970" s="125"/>
      <c r="D970" s="125"/>
      <c r="E970" s="125"/>
      <c r="F970" s="125"/>
      <c r="G970" s="125"/>
      <c r="H970" s="125"/>
      <c r="I970" s="124" t="str">
        <f t="shared" si="4"/>
        <v/>
      </c>
      <c r="J970" s="119" t="s">
        <v>814</v>
      </c>
    </row>
    <row r="971">
      <c r="A971" s="125"/>
      <c r="B971" s="125"/>
      <c r="C971" s="125"/>
      <c r="D971" s="125"/>
      <c r="E971" s="125"/>
      <c r="F971" s="125"/>
      <c r="G971" s="125"/>
      <c r="H971" s="125"/>
      <c r="I971" s="124" t="str">
        <f t="shared" si="4"/>
        <v/>
      </c>
      <c r="J971" s="119" t="s">
        <v>814</v>
      </c>
    </row>
    <row r="972">
      <c r="A972" s="125"/>
      <c r="B972" s="125"/>
      <c r="C972" s="125"/>
      <c r="D972" s="125"/>
      <c r="E972" s="125"/>
      <c r="F972" s="125"/>
      <c r="G972" s="125"/>
      <c r="H972" s="125"/>
      <c r="I972" s="124" t="str">
        <f t="shared" si="4"/>
        <v/>
      </c>
      <c r="J972" s="119" t="s">
        <v>814</v>
      </c>
    </row>
    <row r="973">
      <c r="A973" s="125"/>
      <c r="B973" s="125"/>
      <c r="C973" s="125"/>
      <c r="D973" s="125"/>
      <c r="E973" s="125"/>
      <c r="F973" s="125"/>
      <c r="G973" s="125"/>
      <c r="H973" s="125"/>
      <c r="I973" s="124" t="str">
        <f t="shared" si="4"/>
        <v/>
      </c>
      <c r="J973" s="119" t="s">
        <v>814</v>
      </c>
    </row>
    <row r="974">
      <c r="A974" s="125"/>
      <c r="B974" s="125"/>
      <c r="C974" s="125"/>
      <c r="D974" s="125"/>
      <c r="E974" s="125"/>
      <c r="F974" s="125"/>
      <c r="G974" s="125"/>
      <c r="H974" s="125"/>
      <c r="I974" s="124" t="str">
        <f t="shared" si="4"/>
        <v/>
      </c>
      <c r="J974" s="119" t="s">
        <v>814</v>
      </c>
    </row>
    <row r="975">
      <c r="A975" s="125"/>
      <c r="B975" s="125"/>
      <c r="C975" s="125"/>
      <c r="D975" s="125"/>
      <c r="E975" s="125"/>
      <c r="F975" s="125"/>
      <c r="G975" s="125"/>
      <c r="H975" s="125"/>
      <c r="I975" s="124" t="str">
        <f t="shared" si="4"/>
        <v/>
      </c>
      <c r="J975" s="119" t="s">
        <v>814</v>
      </c>
    </row>
    <row r="976">
      <c r="A976" s="125"/>
      <c r="B976" s="125"/>
      <c r="C976" s="125"/>
      <c r="D976" s="125"/>
      <c r="E976" s="125"/>
      <c r="F976" s="125"/>
      <c r="G976" s="125"/>
      <c r="H976" s="125"/>
      <c r="I976" s="124" t="str">
        <f t="shared" si="4"/>
        <v/>
      </c>
      <c r="J976" s="119" t="s">
        <v>814</v>
      </c>
    </row>
    <row r="977">
      <c r="A977" s="125"/>
      <c r="B977" s="125"/>
      <c r="C977" s="125"/>
      <c r="D977" s="125"/>
      <c r="E977" s="125"/>
      <c r="F977" s="125"/>
      <c r="G977" s="125"/>
      <c r="H977" s="125"/>
      <c r="I977" s="124" t="str">
        <f t="shared" si="4"/>
        <v/>
      </c>
      <c r="J977" s="119" t="s">
        <v>814</v>
      </c>
    </row>
    <row r="978">
      <c r="A978" s="125"/>
      <c r="B978" s="125"/>
      <c r="C978" s="125"/>
      <c r="D978" s="125"/>
      <c r="E978" s="125"/>
      <c r="F978" s="125"/>
      <c r="G978" s="125"/>
      <c r="H978" s="125"/>
      <c r="I978" s="124" t="str">
        <f t="shared" si="4"/>
        <v/>
      </c>
      <c r="J978" s="119" t="s">
        <v>814</v>
      </c>
    </row>
    <row r="979">
      <c r="A979" s="125"/>
      <c r="B979" s="125"/>
      <c r="C979" s="125"/>
      <c r="D979" s="125"/>
      <c r="E979" s="125"/>
      <c r="F979" s="125"/>
      <c r="G979" s="125"/>
      <c r="H979" s="125"/>
      <c r="I979" s="124" t="str">
        <f t="shared" si="4"/>
        <v/>
      </c>
      <c r="J979" s="119" t="s">
        <v>814</v>
      </c>
    </row>
    <row r="980">
      <c r="A980" s="125"/>
      <c r="B980" s="125"/>
      <c r="C980" s="125"/>
      <c r="D980" s="125"/>
      <c r="E980" s="125"/>
      <c r="F980" s="125"/>
      <c r="G980" s="125"/>
      <c r="H980" s="125"/>
      <c r="I980" s="124" t="str">
        <f t="shared" si="4"/>
        <v/>
      </c>
      <c r="J980" s="119" t="s">
        <v>814</v>
      </c>
    </row>
    <row r="981">
      <c r="A981" s="125"/>
      <c r="B981" s="125"/>
      <c r="C981" s="125"/>
      <c r="D981" s="125"/>
      <c r="E981" s="125"/>
      <c r="F981" s="125"/>
      <c r="G981" s="125"/>
      <c r="H981" s="125"/>
      <c r="I981" s="124" t="str">
        <f t="shared" si="4"/>
        <v/>
      </c>
      <c r="J981" s="119" t="s">
        <v>814</v>
      </c>
    </row>
    <row r="982">
      <c r="A982" s="125"/>
      <c r="B982" s="125"/>
      <c r="C982" s="125"/>
      <c r="D982" s="125"/>
      <c r="E982" s="125"/>
      <c r="F982" s="125"/>
      <c r="G982" s="125"/>
      <c r="H982" s="125"/>
      <c r="I982" s="124" t="str">
        <f t="shared" si="4"/>
        <v/>
      </c>
      <c r="J982" s="119" t="s">
        <v>814</v>
      </c>
    </row>
    <row r="983">
      <c r="A983" s="125"/>
      <c r="B983" s="125"/>
      <c r="C983" s="125"/>
      <c r="D983" s="125"/>
      <c r="E983" s="125"/>
      <c r="F983" s="125"/>
      <c r="G983" s="125"/>
      <c r="H983" s="125"/>
      <c r="I983" s="124" t="str">
        <f t="shared" si="4"/>
        <v/>
      </c>
      <c r="J983" s="119" t="s">
        <v>814</v>
      </c>
    </row>
    <row r="984">
      <c r="A984" s="125"/>
      <c r="B984" s="125"/>
      <c r="C984" s="125"/>
      <c r="D984" s="125"/>
      <c r="E984" s="125"/>
      <c r="F984" s="125"/>
      <c r="G984" s="125"/>
      <c r="H984" s="125"/>
      <c r="I984" s="124" t="str">
        <f t="shared" si="4"/>
        <v/>
      </c>
      <c r="J984" s="119" t="s">
        <v>814</v>
      </c>
    </row>
    <row r="985">
      <c r="A985" s="125"/>
      <c r="B985" s="125"/>
      <c r="C985" s="125"/>
      <c r="D985" s="125"/>
      <c r="E985" s="125"/>
      <c r="F985" s="125"/>
      <c r="G985" s="125"/>
      <c r="H985" s="125"/>
      <c r="I985" s="124" t="str">
        <f t="shared" si="4"/>
        <v/>
      </c>
      <c r="J985" s="119" t="s">
        <v>814</v>
      </c>
    </row>
    <row r="986">
      <c r="A986" s="125"/>
      <c r="B986" s="125"/>
      <c r="C986" s="125"/>
      <c r="D986" s="125"/>
      <c r="E986" s="125"/>
      <c r="F986" s="125"/>
      <c r="G986" s="125"/>
      <c r="H986" s="125"/>
      <c r="I986" s="124" t="str">
        <f t="shared" si="4"/>
        <v/>
      </c>
      <c r="J986" s="119" t="s">
        <v>814</v>
      </c>
    </row>
    <row r="987">
      <c r="A987" s="125"/>
      <c r="B987" s="125"/>
      <c r="C987" s="125"/>
      <c r="D987" s="125"/>
      <c r="E987" s="125"/>
      <c r="F987" s="125"/>
      <c r="G987" s="125"/>
      <c r="H987" s="125"/>
      <c r="I987" s="124" t="str">
        <f t="shared" si="4"/>
        <v/>
      </c>
      <c r="J987" s="119" t="s">
        <v>814</v>
      </c>
    </row>
    <row r="988">
      <c r="A988" s="125"/>
      <c r="B988" s="125"/>
      <c r="C988" s="125"/>
      <c r="D988" s="125"/>
      <c r="E988" s="125"/>
      <c r="F988" s="125"/>
      <c r="G988" s="125"/>
      <c r="H988" s="125"/>
      <c r="I988" s="124" t="str">
        <f t="shared" si="4"/>
        <v/>
      </c>
      <c r="J988" s="119" t="s">
        <v>814</v>
      </c>
    </row>
    <row r="989">
      <c r="A989" s="125"/>
      <c r="B989" s="125"/>
      <c r="C989" s="125"/>
      <c r="D989" s="125"/>
      <c r="E989" s="125"/>
      <c r="F989" s="125"/>
      <c r="G989" s="125"/>
      <c r="H989" s="125"/>
      <c r="I989" s="124" t="str">
        <f t="shared" si="4"/>
        <v/>
      </c>
      <c r="J989" s="119" t="s">
        <v>814</v>
      </c>
    </row>
    <row r="990">
      <c r="A990" s="125"/>
      <c r="B990" s="125"/>
      <c r="C990" s="125"/>
      <c r="D990" s="125"/>
      <c r="E990" s="125"/>
      <c r="F990" s="125"/>
      <c r="G990" s="125"/>
      <c r="H990" s="125"/>
      <c r="I990" s="124" t="str">
        <f t="shared" si="4"/>
        <v/>
      </c>
      <c r="J990" s="119" t="s">
        <v>814</v>
      </c>
    </row>
    <row r="991">
      <c r="A991" s="125"/>
      <c r="B991" s="125"/>
      <c r="C991" s="125"/>
      <c r="D991" s="125"/>
      <c r="E991" s="125"/>
      <c r="F991" s="125"/>
      <c r="G991" s="125"/>
      <c r="H991" s="125"/>
      <c r="I991" s="124" t="str">
        <f t="shared" si="4"/>
        <v/>
      </c>
      <c r="J991" s="119" t="s">
        <v>814</v>
      </c>
    </row>
    <row r="992">
      <c r="A992" s="125"/>
      <c r="B992" s="125"/>
      <c r="C992" s="125"/>
      <c r="D992" s="125"/>
      <c r="E992" s="125"/>
      <c r="F992" s="125"/>
      <c r="G992" s="125"/>
      <c r="H992" s="125"/>
      <c r="I992" s="124" t="str">
        <f t="shared" si="4"/>
        <v/>
      </c>
      <c r="J992" s="119" t="s">
        <v>814</v>
      </c>
    </row>
    <row r="993">
      <c r="A993" s="125"/>
      <c r="B993" s="125"/>
      <c r="C993" s="125"/>
      <c r="D993" s="125"/>
      <c r="E993" s="125"/>
      <c r="F993" s="125"/>
      <c r="G993" s="125"/>
      <c r="H993" s="125"/>
      <c r="I993" s="124" t="str">
        <f t="shared" si="4"/>
        <v/>
      </c>
      <c r="J993" s="119" t="s">
        <v>814</v>
      </c>
    </row>
    <row r="994">
      <c r="A994" s="125"/>
      <c r="B994" s="125"/>
      <c r="C994" s="125"/>
      <c r="D994" s="125"/>
      <c r="E994" s="125"/>
      <c r="F994" s="125"/>
      <c r="G994" s="125"/>
      <c r="H994" s="125"/>
      <c r="I994" s="124" t="str">
        <f t="shared" si="4"/>
        <v/>
      </c>
      <c r="J994" s="119" t="s">
        <v>814</v>
      </c>
    </row>
    <row r="995">
      <c r="A995" s="125"/>
      <c r="B995" s="125"/>
      <c r="C995" s="125"/>
      <c r="D995" s="125"/>
      <c r="E995" s="125"/>
      <c r="F995" s="125"/>
      <c r="G995" s="125"/>
      <c r="H995" s="125"/>
      <c r="I995" s="124" t="str">
        <f t="shared" si="4"/>
        <v/>
      </c>
      <c r="J995" s="119" t="s">
        <v>814</v>
      </c>
    </row>
    <row r="996">
      <c r="A996" s="125"/>
      <c r="B996" s="125"/>
      <c r="C996" s="125"/>
      <c r="D996" s="125"/>
      <c r="E996" s="125"/>
      <c r="F996" s="125"/>
      <c r="G996" s="125"/>
      <c r="H996" s="125"/>
      <c r="I996" s="124" t="str">
        <f t="shared" si="4"/>
        <v/>
      </c>
      <c r="J996" s="119" t="s">
        <v>814</v>
      </c>
    </row>
    <row r="997">
      <c r="A997" s="125"/>
      <c r="B997" s="125"/>
      <c r="C997" s="125"/>
      <c r="D997" s="125"/>
      <c r="E997" s="125"/>
      <c r="F997" s="125"/>
      <c r="G997" s="125"/>
      <c r="H997" s="125"/>
      <c r="I997" s="124" t="str">
        <f t="shared" si="4"/>
        <v/>
      </c>
      <c r="J997" s="119" t="s">
        <v>814</v>
      </c>
    </row>
    <row r="998">
      <c r="A998" s="125"/>
      <c r="B998" s="125"/>
      <c r="C998" s="125"/>
      <c r="D998" s="125"/>
      <c r="E998" s="125"/>
      <c r="F998" s="125"/>
      <c r="G998" s="125"/>
      <c r="H998" s="125"/>
      <c r="I998" s="124" t="str">
        <f t="shared" si="4"/>
        <v/>
      </c>
      <c r="J998" s="119" t="s">
        <v>814</v>
      </c>
    </row>
    <row r="999">
      <c r="A999" s="125"/>
      <c r="B999" s="125"/>
      <c r="C999" s="125"/>
      <c r="D999" s="125"/>
      <c r="E999" s="125"/>
      <c r="F999" s="125"/>
      <c r="G999" s="125"/>
      <c r="H999" s="125"/>
      <c r="I999" s="124" t="str">
        <f t="shared" si="4"/>
        <v/>
      </c>
      <c r="J999" s="119" t="s">
        <v>814</v>
      </c>
    </row>
    <row r="1000">
      <c r="A1000" s="125"/>
      <c r="B1000" s="125"/>
      <c r="C1000" s="125"/>
      <c r="D1000" s="125"/>
      <c r="E1000" s="125"/>
      <c r="F1000" s="125"/>
      <c r="G1000" s="125"/>
      <c r="H1000" s="125"/>
      <c r="I1000" s="124" t="str">
        <f t="shared" si="4"/>
        <v/>
      </c>
      <c r="J1000" s="119" t="s">
        <v>814</v>
      </c>
    </row>
    <row r="1001">
      <c r="A1001" s="125"/>
      <c r="B1001" s="125"/>
      <c r="C1001" s="125"/>
      <c r="D1001" s="125"/>
      <c r="E1001" s="125"/>
      <c r="F1001" s="125"/>
      <c r="G1001" s="125"/>
      <c r="H1001" s="125"/>
      <c r="I1001" s="124" t="str">
        <f t="shared" si="4"/>
        <v/>
      </c>
      <c r="J1001" s="119" t="s">
        <v>814</v>
      </c>
    </row>
    <row r="1002">
      <c r="A1002" s="125"/>
      <c r="B1002" s="125"/>
      <c r="C1002" s="125"/>
      <c r="D1002" s="125"/>
      <c r="E1002" s="125"/>
      <c r="F1002" s="125"/>
      <c r="G1002" s="125"/>
      <c r="H1002" s="125"/>
      <c r="I1002" s="124" t="str">
        <f t="shared" si="4"/>
        <v/>
      </c>
      <c r="J1002" s="119" t="s">
        <v>814</v>
      </c>
    </row>
    <row r="1003">
      <c r="A1003" s="125"/>
      <c r="B1003" s="125"/>
      <c r="C1003" s="125"/>
      <c r="D1003" s="125"/>
      <c r="E1003" s="125"/>
      <c r="F1003" s="125"/>
      <c r="G1003" s="125"/>
      <c r="H1003" s="125"/>
      <c r="I1003" s="124" t="str">
        <f t="shared" si="4"/>
        <v/>
      </c>
      <c r="J1003" s="125"/>
    </row>
    <row r="1004">
      <c r="I1004" s="133"/>
      <c r="J1004" s="134"/>
    </row>
    <row r="1005">
      <c r="I1005" s="133"/>
      <c r="J1005" s="134"/>
    </row>
    <row r="1006">
      <c r="J1006" s="134"/>
    </row>
    <row r="1007">
      <c r="J1007" s="134"/>
    </row>
  </sheetData>
  <mergeCells count="1">
    <mergeCell ref="A1:N1"/>
  </mergeCells>
  <conditionalFormatting sqref="K10">
    <cfRule type="notContainsBlanks" dxfId="5" priority="1">
      <formula>LEN(TRIM(K10))&gt;0</formula>
    </cfRule>
  </conditionalFormatting>
  <conditionalFormatting sqref="I3:I1005">
    <cfRule type="notContainsBlanks" dxfId="6" priority="2">
      <formula>LEN(TRIM(I3))&gt;0</formula>
    </cfRule>
  </conditionalFormatting>
  <dataValidations>
    <dataValidation type="list" allowBlank="1" showDropDown="1" showErrorMessage="1" sqref="D3">
      <formula1>"ปากกา"</formula1>
    </dataValidation>
    <dataValidation type="list" allowBlank="1" showErrorMessage="1" sqref="B3:B93">
      <formula1>"อุปกรณ์ใช้หน้าร้าน,อุปกรณ์ทั่วไป,อุปกรณ์ใช้หลังร้าน,อุปกรณ์ทำความสะอาด,เครื่องใช้ไฟฟ้าหน้าร้าน,เครื่องใช้ไฟฟ้าหลังร้าน"</formula1>
    </dataValidation>
    <dataValidation type="list" allowBlank="1" showErrorMessage="1" sqref="J3:J1007">
      <formula1>"House,Makro"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7.63"/>
    <col customWidth="1" min="3" max="3" width="16.13"/>
    <col customWidth="1" min="4" max="5" width="32.0"/>
    <col customWidth="1" min="8" max="8" width="8.38"/>
  </cols>
  <sheetData>
    <row r="1">
      <c r="A1" s="114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808</v>
      </c>
      <c r="F2" s="117" t="s">
        <v>809</v>
      </c>
      <c r="G2" s="118" t="s">
        <v>810</v>
      </c>
      <c r="H2" s="117" t="s">
        <v>7</v>
      </c>
      <c r="I2" s="117" t="s">
        <v>811</v>
      </c>
      <c r="J2" s="117" t="s">
        <v>8</v>
      </c>
    </row>
    <row r="3">
      <c r="A3" s="119">
        <v>1.0</v>
      </c>
      <c r="B3" s="120" t="s">
        <v>839</v>
      </c>
      <c r="C3" s="121"/>
      <c r="D3" s="123" t="s">
        <v>840</v>
      </c>
      <c r="E3" s="123"/>
      <c r="F3" s="119">
        <v>24.0</v>
      </c>
      <c r="G3" s="119">
        <v>25.0</v>
      </c>
      <c r="H3" s="119" t="s">
        <v>841</v>
      </c>
      <c r="I3" s="124" t="str">
        <f t="shared" ref="I3:I1000" si="1">IF(F3&lt;&gt;"",IF(F3&lt;G3,"เบิก",""),)</f>
        <v>เบิก</v>
      </c>
      <c r="J3" s="119" t="s">
        <v>814</v>
      </c>
    </row>
    <row r="4">
      <c r="A4" s="119">
        <v>2.0</v>
      </c>
      <c r="B4" s="120" t="s">
        <v>839</v>
      </c>
      <c r="C4" s="121"/>
      <c r="D4" s="123" t="s">
        <v>842</v>
      </c>
      <c r="E4" s="123"/>
      <c r="F4" s="119">
        <v>4.0</v>
      </c>
      <c r="G4" s="119">
        <v>40.0</v>
      </c>
      <c r="H4" s="119" t="s">
        <v>841</v>
      </c>
      <c r="I4" s="124" t="str">
        <f t="shared" si="1"/>
        <v>เบิก</v>
      </c>
      <c r="J4" s="119" t="s">
        <v>814</v>
      </c>
    </row>
    <row r="5">
      <c r="A5" s="119">
        <v>3.0</v>
      </c>
      <c r="B5" s="120" t="s">
        <v>839</v>
      </c>
      <c r="C5" s="121"/>
      <c r="D5" s="123" t="s">
        <v>843</v>
      </c>
      <c r="E5" s="123"/>
      <c r="F5" s="119">
        <v>25.0</v>
      </c>
      <c r="G5" s="119">
        <v>25.0</v>
      </c>
      <c r="H5" s="119" t="s">
        <v>841</v>
      </c>
      <c r="I5" s="124" t="str">
        <f t="shared" si="1"/>
        <v/>
      </c>
      <c r="J5" s="119" t="s">
        <v>814</v>
      </c>
    </row>
    <row r="6">
      <c r="A6" s="119">
        <v>4.0</v>
      </c>
      <c r="B6" s="120" t="s">
        <v>839</v>
      </c>
      <c r="C6" s="125"/>
      <c r="D6" s="123" t="s">
        <v>844</v>
      </c>
      <c r="E6" s="123"/>
      <c r="F6" s="119">
        <v>41.0</v>
      </c>
      <c r="G6" s="119">
        <v>40.0</v>
      </c>
      <c r="H6" s="119" t="s">
        <v>841</v>
      </c>
      <c r="I6" s="124" t="str">
        <f t="shared" si="1"/>
        <v/>
      </c>
      <c r="J6" s="119" t="s">
        <v>814</v>
      </c>
    </row>
    <row r="7">
      <c r="A7" s="119">
        <v>5.0</v>
      </c>
      <c r="B7" s="120" t="s">
        <v>839</v>
      </c>
      <c r="C7" s="125"/>
      <c r="D7" s="123" t="s">
        <v>845</v>
      </c>
      <c r="E7" s="123"/>
      <c r="F7" s="119">
        <v>199.0</v>
      </c>
      <c r="G7" s="119">
        <v>200.0</v>
      </c>
      <c r="H7" s="119" t="s">
        <v>841</v>
      </c>
      <c r="I7" s="124" t="str">
        <f t="shared" si="1"/>
        <v>เบิก</v>
      </c>
      <c r="J7" s="119" t="s">
        <v>814</v>
      </c>
    </row>
    <row r="8">
      <c r="A8" s="119">
        <v>6.0</v>
      </c>
      <c r="B8" s="120" t="s">
        <v>839</v>
      </c>
      <c r="C8" s="125"/>
      <c r="D8" s="126" t="s">
        <v>846</v>
      </c>
      <c r="E8" s="126"/>
      <c r="F8" s="120"/>
      <c r="G8" s="119">
        <v>100.0</v>
      </c>
      <c r="H8" s="119" t="s">
        <v>841</v>
      </c>
      <c r="I8" s="124" t="str">
        <f t="shared" si="1"/>
        <v/>
      </c>
      <c r="J8" s="119" t="s">
        <v>814</v>
      </c>
    </row>
    <row r="9">
      <c r="A9" s="119">
        <v>7.0</v>
      </c>
      <c r="B9" s="120" t="s">
        <v>839</v>
      </c>
      <c r="C9" s="125"/>
      <c r="D9" s="126" t="s">
        <v>847</v>
      </c>
      <c r="E9" s="126"/>
      <c r="F9" s="125"/>
      <c r="G9" s="119">
        <v>100.0</v>
      </c>
      <c r="H9" s="119" t="s">
        <v>841</v>
      </c>
      <c r="I9" s="124" t="str">
        <f t="shared" si="1"/>
        <v/>
      </c>
      <c r="J9" s="119" t="s">
        <v>814</v>
      </c>
    </row>
    <row r="10">
      <c r="A10" s="119">
        <v>8.0</v>
      </c>
      <c r="B10" s="120" t="s">
        <v>839</v>
      </c>
      <c r="C10" s="125"/>
      <c r="D10" s="126" t="s">
        <v>848</v>
      </c>
      <c r="E10" s="126"/>
      <c r="F10" s="125"/>
      <c r="G10" s="119">
        <v>25.0</v>
      </c>
      <c r="H10" s="119" t="s">
        <v>841</v>
      </c>
      <c r="I10" s="124" t="str">
        <f t="shared" si="1"/>
        <v/>
      </c>
      <c r="J10" s="119" t="s">
        <v>814</v>
      </c>
    </row>
    <row r="11">
      <c r="A11" s="119">
        <v>9.0</v>
      </c>
      <c r="B11" s="120" t="s">
        <v>839</v>
      </c>
      <c r="C11" s="125"/>
      <c r="D11" s="126" t="s">
        <v>849</v>
      </c>
      <c r="E11" s="126"/>
      <c r="F11" s="125"/>
      <c r="G11" s="119">
        <v>30.0</v>
      </c>
      <c r="H11" s="119" t="s">
        <v>841</v>
      </c>
      <c r="I11" s="124" t="str">
        <f t="shared" si="1"/>
        <v/>
      </c>
      <c r="J11" s="119" t="s">
        <v>814</v>
      </c>
    </row>
    <row r="12">
      <c r="A12" s="119">
        <v>10.0</v>
      </c>
      <c r="B12" s="120" t="s">
        <v>839</v>
      </c>
      <c r="C12" s="125"/>
      <c r="D12" s="126" t="s">
        <v>850</v>
      </c>
      <c r="E12" s="126"/>
      <c r="F12" s="125"/>
      <c r="G12" s="119">
        <v>25.0</v>
      </c>
      <c r="H12" s="119" t="s">
        <v>841</v>
      </c>
      <c r="I12" s="124" t="str">
        <f t="shared" si="1"/>
        <v/>
      </c>
      <c r="J12" s="119" t="s">
        <v>814</v>
      </c>
    </row>
    <row r="13">
      <c r="A13" s="119">
        <v>11.0</v>
      </c>
      <c r="B13" s="120" t="s">
        <v>839</v>
      </c>
      <c r="C13" s="125"/>
      <c r="D13" s="126" t="s">
        <v>851</v>
      </c>
      <c r="E13" s="126"/>
      <c r="F13" s="125"/>
      <c r="G13" s="119">
        <v>25.0</v>
      </c>
      <c r="H13" s="119" t="s">
        <v>841</v>
      </c>
      <c r="I13" s="124" t="str">
        <f t="shared" si="1"/>
        <v/>
      </c>
      <c r="J13" s="119" t="s">
        <v>814</v>
      </c>
    </row>
    <row r="14">
      <c r="A14" s="119">
        <v>12.0</v>
      </c>
      <c r="B14" s="120" t="s">
        <v>839</v>
      </c>
      <c r="C14" s="125"/>
      <c r="D14" s="126" t="s">
        <v>852</v>
      </c>
      <c r="E14" s="126"/>
      <c r="F14" s="125"/>
      <c r="G14" s="119">
        <v>25.0</v>
      </c>
      <c r="H14" s="119" t="s">
        <v>841</v>
      </c>
      <c r="I14" s="124" t="str">
        <f t="shared" si="1"/>
        <v/>
      </c>
      <c r="J14" s="119" t="s">
        <v>814</v>
      </c>
    </row>
    <row r="15">
      <c r="A15" s="119">
        <v>13.0</v>
      </c>
      <c r="B15" s="120" t="s">
        <v>839</v>
      </c>
      <c r="C15" s="125"/>
      <c r="D15" s="126" t="s">
        <v>853</v>
      </c>
      <c r="E15" s="126"/>
      <c r="F15" s="125"/>
      <c r="G15" s="119">
        <v>25.0</v>
      </c>
      <c r="H15" s="119" t="s">
        <v>841</v>
      </c>
      <c r="I15" s="124" t="str">
        <f t="shared" si="1"/>
        <v/>
      </c>
      <c r="J15" s="119" t="s">
        <v>814</v>
      </c>
    </row>
    <row r="16">
      <c r="A16" s="119">
        <v>14.0</v>
      </c>
      <c r="B16" s="120" t="s">
        <v>839</v>
      </c>
      <c r="C16" s="125"/>
      <c r="D16" s="126" t="s">
        <v>854</v>
      </c>
      <c r="E16" s="126"/>
      <c r="F16" s="125"/>
      <c r="G16" s="119">
        <v>25.0</v>
      </c>
      <c r="H16" s="119" t="s">
        <v>841</v>
      </c>
      <c r="I16" s="124" t="str">
        <f t="shared" si="1"/>
        <v/>
      </c>
      <c r="J16" s="119" t="s">
        <v>814</v>
      </c>
    </row>
    <row r="17">
      <c r="A17" s="119">
        <v>15.0</v>
      </c>
      <c r="B17" s="120" t="s">
        <v>839</v>
      </c>
      <c r="C17" s="125"/>
      <c r="D17" s="126" t="s">
        <v>855</v>
      </c>
      <c r="E17" s="126"/>
      <c r="F17" s="125"/>
      <c r="G17" s="119">
        <v>25.0</v>
      </c>
      <c r="H17" s="119" t="s">
        <v>841</v>
      </c>
      <c r="I17" s="124" t="str">
        <f t="shared" si="1"/>
        <v/>
      </c>
      <c r="J17" s="119" t="s">
        <v>814</v>
      </c>
    </row>
    <row r="18">
      <c r="A18" s="119">
        <v>16.0</v>
      </c>
      <c r="B18" s="120" t="s">
        <v>839</v>
      </c>
      <c r="C18" s="125"/>
      <c r="D18" s="126" t="s">
        <v>856</v>
      </c>
      <c r="E18" s="126"/>
      <c r="F18" s="125"/>
      <c r="G18" s="119">
        <v>7.0</v>
      </c>
      <c r="H18" s="119" t="s">
        <v>857</v>
      </c>
      <c r="I18" s="124" t="str">
        <f t="shared" si="1"/>
        <v/>
      </c>
      <c r="J18" s="119" t="s">
        <v>814</v>
      </c>
    </row>
    <row r="19">
      <c r="A19" s="119">
        <v>17.0</v>
      </c>
      <c r="B19" s="120" t="s">
        <v>858</v>
      </c>
      <c r="C19" s="125"/>
      <c r="D19" s="126" t="s">
        <v>859</v>
      </c>
      <c r="E19" s="126"/>
      <c r="F19" s="125"/>
      <c r="G19" s="119">
        <v>3.0</v>
      </c>
      <c r="H19" s="119" t="s">
        <v>330</v>
      </c>
      <c r="I19" s="124" t="str">
        <f t="shared" si="1"/>
        <v/>
      </c>
      <c r="J19" s="119" t="s">
        <v>105</v>
      </c>
    </row>
    <row r="20">
      <c r="A20" s="119">
        <v>18.0</v>
      </c>
      <c r="B20" s="120" t="s">
        <v>858</v>
      </c>
      <c r="C20" s="125"/>
      <c r="D20" s="126" t="s">
        <v>860</v>
      </c>
      <c r="E20" s="126"/>
      <c r="F20" s="125"/>
      <c r="G20" s="119">
        <v>1.0</v>
      </c>
      <c r="H20" s="119" t="s">
        <v>330</v>
      </c>
      <c r="I20" s="124" t="str">
        <f t="shared" si="1"/>
        <v/>
      </c>
      <c r="J20" s="120" t="s">
        <v>814</v>
      </c>
    </row>
    <row r="21">
      <c r="A21" s="119">
        <v>19.0</v>
      </c>
      <c r="B21" s="120" t="s">
        <v>858</v>
      </c>
      <c r="C21" s="125"/>
      <c r="D21" s="126" t="s">
        <v>861</v>
      </c>
      <c r="E21" s="126"/>
      <c r="F21" s="125"/>
      <c r="G21" s="119">
        <v>5.0</v>
      </c>
      <c r="H21" s="119" t="s">
        <v>330</v>
      </c>
      <c r="I21" s="124" t="str">
        <f t="shared" si="1"/>
        <v/>
      </c>
      <c r="J21" s="119" t="s">
        <v>105</v>
      </c>
    </row>
    <row r="22">
      <c r="A22" s="119">
        <v>20.0</v>
      </c>
      <c r="B22" s="120" t="s">
        <v>858</v>
      </c>
      <c r="C22" s="120" t="s">
        <v>491</v>
      </c>
      <c r="D22" s="126" t="s">
        <v>862</v>
      </c>
      <c r="E22" s="126"/>
      <c r="F22" s="125"/>
      <c r="G22" s="119">
        <v>3.0</v>
      </c>
      <c r="H22" s="119" t="s">
        <v>80</v>
      </c>
      <c r="I22" s="124" t="str">
        <f t="shared" si="1"/>
        <v/>
      </c>
      <c r="J22" s="120" t="s">
        <v>814</v>
      </c>
    </row>
    <row r="23">
      <c r="A23" s="119">
        <v>21.0</v>
      </c>
      <c r="B23" s="120" t="s">
        <v>858</v>
      </c>
      <c r="C23" s="120" t="s">
        <v>439</v>
      </c>
      <c r="D23" s="126" t="s">
        <v>863</v>
      </c>
      <c r="E23" s="126"/>
      <c r="F23" s="125"/>
      <c r="G23" s="119">
        <v>2.0</v>
      </c>
      <c r="H23" s="119" t="s">
        <v>80</v>
      </c>
      <c r="I23" s="124" t="str">
        <f t="shared" si="1"/>
        <v/>
      </c>
      <c r="J23" s="120" t="s">
        <v>814</v>
      </c>
    </row>
    <row r="24">
      <c r="A24" s="119">
        <v>22.0</v>
      </c>
      <c r="B24" s="120" t="s">
        <v>858</v>
      </c>
      <c r="C24" s="125"/>
      <c r="D24" s="126" t="s">
        <v>864</v>
      </c>
      <c r="E24" s="126"/>
      <c r="F24" s="125"/>
      <c r="G24" s="119">
        <v>3.0</v>
      </c>
      <c r="H24" s="119" t="s">
        <v>330</v>
      </c>
      <c r="I24" s="124" t="str">
        <f t="shared" si="1"/>
        <v/>
      </c>
      <c r="J24" s="120" t="s">
        <v>814</v>
      </c>
    </row>
    <row r="25">
      <c r="A25" s="119">
        <v>23.0</v>
      </c>
      <c r="B25" s="120" t="s">
        <v>858</v>
      </c>
      <c r="C25" s="125"/>
      <c r="D25" s="126" t="s">
        <v>865</v>
      </c>
      <c r="E25" s="126"/>
      <c r="F25" s="125"/>
      <c r="G25" s="119">
        <v>3000.0</v>
      </c>
      <c r="H25" s="119" t="s">
        <v>866</v>
      </c>
      <c r="I25" s="124" t="str">
        <f t="shared" si="1"/>
        <v/>
      </c>
      <c r="J25" s="119" t="s">
        <v>105</v>
      </c>
    </row>
    <row r="26">
      <c r="A26" s="119">
        <v>24.0</v>
      </c>
      <c r="B26" s="120" t="s">
        <v>858</v>
      </c>
      <c r="C26" s="125"/>
      <c r="D26" s="126" t="s">
        <v>867</v>
      </c>
      <c r="E26" s="126"/>
      <c r="F26" s="125"/>
      <c r="G26" s="119">
        <v>1500.0</v>
      </c>
      <c r="H26" s="119" t="s">
        <v>866</v>
      </c>
      <c r="I26" s="124" t="str">
        <f t="shared" si="1"/>
        <v/>
      </c>
      <c r="J26" s="120" t="s">
        <v>814</v>
      </c>
    </row>
    <row r="27">
      <c r="A27" s="119">
        <v>25.0</v>
      </c>
      <c r="B27" s="120" t="s">
        <v>858</v>
      </c>
      <c r="C27" s="125"/>
      <c r="D27" s="126" t="s">
        <v>868</v>
      </c>
      <c r="E27" s="126"/>
      <c r="F27" s="125"/>
      <c r="G27" s="119">
        <v>1500.0</v>
      </c>
      <c r="H27" s="119" t="s">
        <v>866</v>
      </c>
      <c r="I27" s="124" t="str">
        <f t="shared" si="1"/>
        <v/>
      </c>
      <c r="J27" s="120" t="s">
        <v>814</v>
      </c>
    </row>
    <row r="28">
      <c r="A28" s="119">
        <v>26.0</v>
      </c>
      <c r="B28" s="120" t="s">
        <v>858</v>
      </c>
      <c r="C28" s="120" t="s">
        <v>497</v>
      </c>
      <c r="D28" s="126" t="s">
        <v>869</v>
      </c>
      <c r="E28" s="126"/>
      <c r="F28" s="125"/>
      <c r="G28" s="119">
        <v>1500.0</v>
      </c>
      <c r="H28" s="119" t="s">
        <v>866</v>
      </c>
      <c r="I28" s="124" t="str">
        <f t="shared" si="1"/>
        <v/>
      </c>
      <c r="J28" s="120" t="s">
        <v>814</v>
      </c>
    </row>
    <row r="29">
      <c r="A29" s="119">
        <v>27.0</v>
      </c>
      <c r="B29" s="120" t="s">
        <v>858</v>
      </c>
      <c r="C29" s="120" t="s">
        <v>508</v>
      </c>
      <c r="D29" s="126" t="s">
        <v>870</v>
      </c>
      <c r="E29" s="126"/>
      <c r="F29" s="125"/>
      <c r="G29" s="119">
        <v>1500.0</v>
      </c>
      <c r="H29" s="119" t="s">
        <v>866</v>
      </c>
      <c r="I29" s="124" t="str">
        <f t="shared" si="1"/>
        <v/>
      </c>
      <c r="J29" s="120" t="s">
        <v>814</v>
      </c>
    </row>
    <row r="30">
      <c r="A30" s="119">
        <v>28.0</v>
      </c>
      <c r="B30" s="120" t="s">
        <v>858</v>
      </c>
      <c r="C30" s="125"/>
      <c r="D30" s="126" t="s">
        <v>871</v>
      </c>
      <c r="E30" s="126"/>
      <c r="F30" s="125"/>
      <c r="G30" s="119">
        <v>1500.0</v>
      </c>
      <c r="H30" s="119" t="s">
        <v>866</v>
      </c>
      <c r="I30" s="124" t="str">
        <f t="shared" si="1"/>
        <v/>
      </c>
      <c r="J30" s="120" t="s">
        <v>814</v>
      </c>
    </row>
    <row r="31">
      <c r="A31" s="119">
        <v>29.0</v>
      </c>
      <c r="B31" s="120" t="s">
        <v>858</v>
      </c>
      <c r="C31" s="120" t="s">
        <v>489</v>
      </c>
      <c r="D31" s="126" t="s">
        <v>872</v>
      </c>
      <c r="E31" s="126"/>
      <c r="F31" s="125"/>
      <c r="G31" s="119">
        <v>1500.0</v>
      </c>
      <c r="H31" s="119" t="s">
        <v>866</v>
      </c>
      <c r="I31" s="124" t="str">
        <f t="shared" si="1"/>
        <v/>
      </c>
      <c r="J31" s="120" t="s">
        <v>814</v>
      </c>
    </row>
    <row r="32">
      <c r="A32" s="119">
        <v>30.0</v>
      </c>
      <c r="B32" s="120" t="s">
        <v>858</v>
      </c>
      <c r="C32" s="125"/>
      <c r="D32" s="126" t="s">
        <v>873</v>
      </c>
      <c r="E32" s="126"/>
      <c r="F32" s="125"/>
      <c r="G32" s="119">
        <v>500.0</v>
      </c>
      <c r="H32" s="119" t="s">
        <v>866</v>
      </c>
      <c r="I32" s="124" t="str">
        <f t="shared" si="1"/>
        <v/>
      </c>
      <c r="J32" s="120" t="s">
        <v>814</v>
      </c>
    </row>
    <row r="33">
      <c r="A33" s="119">
        <v>31.0</v>
      </c>
      <c r="B33" s="120" t="s">
        <v>858</v>
      </c>
      <c r="C33" s="125"/>
      <c r="D33" s="126" t="s">
        <v>874</v>
      </c>
      <c r="E33" s="126"/>
      <c r="F33" s="125"/>
      <c r="G33" s="119">
        <v>100.0</v>
      </c>
      <c r="H33" s="119" t="s">
        <v>866</v>
      </c>
      <c r="I33" s="124" t="str">
        <f t="shared" si="1"/>
        <v/>
      </c>
      <c r="J33" s="120" t="s">
        <v>814</v>
      </c>
    </row>
    <row r="34">
      <c r="A34" s="119">
        <v>32.0</v>
      </c>
      <c r="B34" s="120" t="s">
        <v>858</v>
      </c>
      <c r="C34" s="120" t="s">
        <v>433</v>
      </c>
      <c r="D34" s="126" t="s">
        <v>875</v>
      </c>
      <c r="E34" s="126"/>
      <c r="F34" s="125"/>
      <c r="G34" s="119">
        <v>100.0</v>
      </c>
      <c r="H34" s="119" t="s">
        <v>866</v>
      </c>
      <c r="I34" s="124" t="str">
        <f t="shared" si="1"/>
        <v/>
      </c>
      <c r="J34" s="120" t="s">
        <v>814</v>
      </c>
    </row>
    <row r="35">
      <c r="A35" s="119">
        <v>33.0</v>
      </c>
      <c r="B35" s="120" t="s">
        <v>858</v>
      </c>
      <c r="C35" s="120" t="s">
        <v>427</v>
      </c>
      <c r="D35" s="126" t="s">
        <v>876</v>
      </c>
      <c r="E35" s="126"/>
      <c r="F35" s="125"/>
      <c r="G35" s="119">
        <v>100.0</v>
      </c>
      <c r="H35" s="119" t="s">
        <v>866</v>
      </c>
      <c r="I35" s="124" t="str">
        <f t="shared" si="1"/>
        <v/>
      </c>
      <c r="J35" s="120" t="s">
        <v>814</v>
      </c>
    </row>
    <row r="36">
      <c r="A36" s="119">
        <v>34.0</v>
      </c>
      <c r="B36" s="120" t="s">
        <v>858</v>
      </c>
      <c r="C36" s="125"/>
      <c r="D36" s="126" t="s">
        <v>877</v>
      </c>
      <c r="E36" s="126"/>
      <c r="F36" s="125"/>
      <c r="G36" s="119">
        <v>100.0</v>
      </c>
      <c r="H36" s="119" t="s">
        <v>866</v>
      </c>
      <c r="I36" s="124" t="str">
        <f t="shared" si="1"/>
        <v/>
      </c>
      <c r="J36" s="120" t="s">
        <v>814</v>
      </c>
    </row>
    <row r="37">
      <c r="A37" s="119">
        <v>35.0</v>
      </c>
      <c r="B37" s="120" t="s">
        <v>858</v>
      </c>
      <c r="C37" s="125"/>
      <c r="D37" s="126" t="s">
        <v>878</v>
      </c>
      <c r="E37" s="126"/>
      <c r="F37" s="125"/>
      <c r="G37" s="119">
        <v>7.0</v>
      </c>
      <c r="H37" s="119" t="s">
        <v>857</v>
      </c>
      <c r="I37" s="124" t="str">
        <f t="shared" si="1"/>
        <v/>
      </c>
      <c r="J37" s="120" t="s">
        <v>814</v>
      </c>
    </row>
    <row r="38">
      <c r="A38" s="119">
        <v>36.0</v>
      </c>
      <c r="B38" s="120" t="s">
        <v>858</v>
      </c>
      <c r="C38" s="125"/>
      <c r="D38" s="126" t="s">
        <v>879</v>
      </c>
      <c r="E38" s="126"/>
      <c r="F38" s="125"/>
      <c r="G38" s="119">
        <v>7.0</v>
      </c>
      <c r="H38" s="119" t="s">
        <v>857</v>
      </c>
      <c r="I38" s="124" t="str">
        <f t="shared" si="1"/>
        <v/>
      </c>
      <c r="J38" s="120" t="s">
        <v>814</v>
      </c>
    </row>
    <row r="39">
      <c r="A39" s="119">
        <v>37.0</v>
      </c>
      <c r="B39" s="120" t="s">
        <v>858</v>
      </c>
      <c r="C39" s="125"/>
      <c r="D39" s="126" t="s">
        <v>880</v>
      </c>
      <c r="E39" s="126"/>
      <c r="F39" s="125"/>
      <c r="G39" s="119">
        <v>150.0</v>
      </c>
      <c r="H39" s="119" t="s">
        <v>866</v>
      </c>
      <c r="I39" s="124" t="str">
        <f t="shared" si="1"/>
        <v/>
      </c>
      <c r="J39" s="120" t="s">
        <v>814</v>
      </c>
    </row>
    <row r="40">
      <c r="A40" s="119">
        <v>38.0</v>
      </c>
      <c r="B40" s="120" t="s">
        <v>858</v>
      </c>
      <c r="C40" s="125"/>
      <c r="D40" s="126" t="s">
        <v>881</v>
      </c>
      <c r="E40" s="126"/>
      <c r="F40" s="125"/>
      <c r="G40" s="119">
        <v>4.0</v>
      </c>
      <c r="H40" s="119" t="s">
        <v>210</v>
      </c>
      <c r="I40" s="124" t="str">
        <f t="shared" si="1"/>
        <v/>
      </c>
      <c r="J40" s="120" t="s">
        <v>814</v>
      </c>
    </row>
    <row r="41">
      <c r="A41" s="119">
        <v>39.0</v>
      </c>
      <c r="B41" s="120" t="s">
        <v>858</v>
      </c>
      <c r="C41" s="125"/>
      <c r="D41" s="126" t="s">
        <v>882</v>
      </c>
      <c r="E41" s="126"/>
      <c r="F41" s="125"/>
      <c r="G41" s="119">
        <v>4.0</v>
      </c>
      <c r="H41" s="119" t="s">
        <v>210</v>
      </c>
      <c r="I41" s="124" t="str">
        <f t="shared" si="1"/>
        <v/>
      </c>
      <c r="J41" s="120" t="s">
        <v>814</v>
      </c>
    </row>
    <row r="42">
      <c r="A42" s="119">
        <v>40.0</v>
      </c>
      <c r="B42" s="120" t="s">
        <v>858</v>
      </c>
      <c r="C42" s="125"/>
      <c r="D42" s="126" t="s">
        <v>883</v>
      </c>
      <c r="E42" s="126"/>
      <c r="F42" s="125"/>
      <c r="G42" s="119">
        <v>7.0</v>
      </c>
      <c r="H42" s="119" t="s">
        <v>857</v>
      </c>
      <c r="I42" s="124" t="str">
        <f t="shared" si="1"/>
        <v/>
      </c>
      <c r="J42" s="120" t="s">
        <v>814</v>
      </c>
    </row>
    <row r="43">
      <c r="A43" s="119">
        <v>41.0</v>
      </c>
      <c r="B43" s="120" t="s">
        <v>858</v>
      </c>
      <c r="C43" s="125"/>
      <c r="D43" s="126" t="s">
        <v>884</v>
      </c>
      <c r="E43" s="126"/>
      <c r="F43" s="125"/>
      <c r="G43" s="119">
        <v>7.0</v>
      </c>
      <c r="H43" s="119" t="s">
        <v>857</v>
      </c>
      <c r="I43" s="124" t="str">
        <f t="shared" si="1"/>
        <v/>
      </c>
      <c r="J43" s="120" t="s">
        <v>814</v>
      </c>
    </row>
    <row r="44">
      <c r="A44" s="119">
        <v>42.0</v>
      </c>
      <c r="B44" s="120" t="s">
        <v>858</v>
      </c>
      <c r="C44" s="125"/>
      <c r="D44" s="126" t="s">
        <v>885</v>
      </c>
      <c r="E44" s="126"/>
      <c r="F44" s="125"/>
      <c r="G44" s="119">
        <v>3.0</v>
      </c>
      <c r="H44" s="119" t="s">
        <v>857</v>
      </c>
      <c r="I44" s="124" t="str">
        <f t="shared" si="1"/>
        <v/>
      </c>
      <c r="J44" s="120" t="s">
        <v>814</v>
      </c>
    </row>
    <row r="45">
      <c r="A45" s="119">
        <v>43.0</v>
      </c>
      <c r="B45" s="120" t="s">
        <v>858</v>
      </c>
      <c r="C45" s="125"/>
      <c r="D45" s="126" t="s">
        <v>886</v>
      </c>
      <c r="E45" s="126"/>
      <c r="F45" s="125"/>
      <c r="G45" s="119">
        <v>3.0</v>
      </c>
      <c r="H45" s="119" t="s">
        <v>857</v>
      </c>
      <c r="I45" s="124" t="str">
        <f t="shared" si="1"/>
        <v/>
      </c>
      <c r="J45" s="120" t="s">
        <v>814</v>
      </c>
    </row>
    <row r="46">
      <c r="A46" s="119">
        <v>44.0</v>
      </c>
      <c r="B46" s="120" t="s">
        <v>858</v>
      </c>
      <c r="C46" s="120" t="s">
        <v>493</v>
      </c>
      <c r="D46" s="126" t="s">
        <v>887</v>
      </c>
      <c r="E46" s="126"/>
      <c r="F46" s="125"/>
      <c r="G46" s="119">
        <v>50.0</v>
      </c>
      <c r="H46" s="119" t="s">
        <v>857</v>
      </c>
      <c r="I46" s="124" t="str">
        <f t="shared" si="1"/>
        <v/>
      </c>
      <c r="J46" s="120" t="s">
        <v>814</v>
      </c>
    </row>
    <row r="47">
      <c r="A47" s="119">
        <v>45.0</v>
      </c>
      <c r="B47" s="120" t="s">
        <v>858</v>
      </c>
      <c r="C47" s="125"/>
      <c r="D47" s="126" t="s">
        <v>888</v>
      </c>
      <c r="E47" s="126"/>
      <c r="F47" s="125"/>
      <c r="G47" s="119">
        <v>7.0</v>
      </c>
      <c r="H47" s="119" t="s">
        <v>857</v>
      </c>
      <c r="I47" s="124" t="str">
        <f t="shared" si="1"/>
        <v/>
      </c>
      <c r="J47" s="120" t="s">
        <v>814</v>
      </c>
    </row>
    <row r="48">
      <c r="A48" s="119">
        <v>46.0</v>
      </c>
      <c r="B48" s="120" t="s">
        <v>858</v>
      </c>
      <c r="C48" s="120" t="s">
        <v>577</v>
      </c>
      <c r="D48" s="126" t="s">
        <v>889</v>
      </c>
      <c r="E48" s="126"/>
      <c r="F48" s="125"/>
      <c r="G48" s="119">
        <v>7.0</v>
      </c>
      <c r="H48" s="119" t="s">
        <v>857</v>
      </c>
      <c r="I48" s="124" t="str">
        <f t="shared" si="1"/>
        <v/>
      </c>
      <c r="J48" s="120" t="s">
        <v>814</v>
      </c>
    </row>
    <row r="49">
      <c r="A49" s="119">
        <v>47.0</v>
      </c>
      <c r="B49" s="120" t="s">
        <v>858</v>
      </c>
      <c r="C49" s="120" t="s">
        <v>543</v>
      </c>
      <c r="D49" s="126" t="s">
        <v>890</v>
      </c>
      <c r="E49" s="126"/>
      <c r="F49" s="125"/>
      <c r="G49" s="119">
        <v>140.0</v>
      </c>
      <c r="H49" s="119" t="s">
        <v>866</v>
      </c>
      <c r="I49" s="124" t="str">
        <f t="shared" si="1"/>
        <v/>
      </c>
      <c r="J49" s="120" t="s">
        <v>814</v>
      </c>
    </row>
    <row r="50">
      <c r="A50" s="119">
        <v>48.0</v>
      </c>
      <c r="B50" s="120" t="s">
        <v>858</v>
      </c>
      <c r="C50" s="125"/>
      <c r="D50" s="126" t="s">
        <v>891</v>
      </c>
      <c r="E50" s="126"/>
      <c r="F50" s="125"/>
      <c r="G50" s="119">
        <v>280.0</v>
      </c>
      <c r="H50" s="119" t="s">
        <v>866</v>
      </c>
      <c r="I50" s="124" t="str">
        <f t="shared" si="1"/>
        <v/>
      </c>
      <c r="J50" s="120" t="s">
        <v>814</v>
      </c>
    </row>
    <row r="51">
      <c r="A51" s="119">
        <v>49.0</v>
      </c>
      <c r="B51" s="120" t="s">
        <v>858</v>
      </c>
      <c r="C51" s="120" t="s">
        <v>540</v>
      </c>
      <c r="D51" s="132" t="s">
        <v>892</v>
      </c>
      <c r="E51" s="132"/>
      <c r="F51" s="125"/>
      <c r="G51" s="119">
        <v>5.0</v>
      </c>
      <c r="H51" s="119" t="s">
        <v>175</v>
      </c>
      <c r="I51" s="124" t="str">
        <f t="shared" si="1"/>
        <v/>
      </c>
      <c r="J51" s="120" t="s">
        <v>814</v>
      </c>
    </row>
    <row r="52">
      <c r="A52" s="119">
        <v>50.0</v>
      </c>
      <c r="B52" s="120" t="s">
        <v>858</v>
      </c>
      <c r="C52" s="125"/>
      <c r="D52" s="132" t="s">
        <v>893</v>
      </c>
      <c r="E52" s="132"/>
      <c r="F52" s="125"/>
      <c r="G52" s="119">
        <v>3.0</v>
      </c>
      <c r="H52" s="119" t="s">
        <v>857</v>
      </c>
      <c r="I52" s="124" t="str">
        <f t="shared" si="1"/>
        <v/>
      </c>
      <c r="J52" s="120" t="s">
        <v>814</v>
      </c>
    </row>
    <row r="53">
      <c r="A53" s="119">
        <v>51.0</v>
      </c>
      <c r="B53" s="120" t="s">
        <v>858</v>
      </c>
      <c r="C53" s="125"/>
      <c r="D53" s="126" t="s">
        <v>894</v>
      </c>
      <c r="E53" s="126"/>
      <c r="F53" s="125"/>
      <c r="G53" s="119">
        <v>7.0</v>
      </c>
      <c r="H53" s="119" t="s">
        <v>857</v>
      </c>
      <c r="I53" s="124" t="str">
        <f t="shared" si="1"/>
        <v/>
      </c>
      <c r="J53" s="120" t="s">
        <v>814</v>
      </c>
    </row>
    <row r="54">
      <c r="A54" s="119">
        <v>52.0</v>
      </c>
      <c r="B54" s="120" t="s">
        <v>858</v>
      </c>
      <c r="C54" s="125"/>
      <c r="D54" s="126" t="s">
        <v>895</v>
      </c>
      <c r="E54" s="126"/>
      <c r="F54" s="125"/>
      <c r="G54" s="119">
        <v>7.0</v>
      </c>
      <c r="H54" s="119" t="s">
        <v>857</v>
      </c>
      <c r="I54" s="124" t="str">
        <f t="shared" si="1"/>
        <v/>
      </c>
      <c r="J54" s="120" t="s">
        <v>814</v>
      </c>
    </row>
    <row r="55">
      <c r="A55" s="119">
        <v>53.0</v>
      </c>
      <c r="B55" s="120" t="s">
        <v>858</v>
      </c>
      <c r="C55" s="125"/>
      <c r="D55" s="126" t="s">
        <v>896</v>
      </c>
      <c r="E55" s="126"/>
      <c r="F55" s="125"/>
      <c r="G55" s="119">
        <v>7.0</v>
      </c>
      <c r="H55" s="119" t="s">
        <v>857</v>
      </c>
      <c r="I55" s="124" t="str">
        <f t="shared" si="1"/>
        <v/>
      </c>
      <c r="J55" s="120" t="s">
        <v>814</v>
      </c>
    </row>
    <row r="56">
      <c r="A56" s="119">
        <v>54.0</v>
      </c>
      <c r="B56" s="120" t="s">
        <v>858</v>
      </c>
      <c r="C56" s="125"/>
      <c r="D56" s="126" t="s">
        <v>897</v>
      </c>
      <c r="E56" s="126"/>
      <c r="F56" s="125"/>
      <c r="G56" s="119">
        <v>10.0</v>
      </c>
      <c r="H56" s="119" t="s">
        <v>857</v>
      </c>
      <c r="I56" s="124" t="str">
        <f t="shared" si="1"/>
        <v/>
      </c>
      <c r="J56" s="120" t="s">
        <v>814</v>
      </c>
    </row>
    <row r="57">
      <c r="A57" s="119">
        <v>55.0</v>
      </c>
      <c r="B57" s="120" t="s">
        <v>858</v>
      </c>
      <c r="C57" s="125"/>
      <c r="D57" s="126" t="s">
        <v>898</v>
      </c>
      <c r="E57" s="126"/>
      <c r="F57" s="125"/>
      <c r="G57" s="119">
        <v>2.0</v>
      </c>
      <c r="H57" s="119" t="s">
        <v>857</v>
      </c>
      <c r="I57" s="124" t="str">
        <f t="shared" si="1"/>
        <v/>
      </c>
      <c r="J57" s="120" t="s">
        <v>814</v>
      </c>
    </row>
    <row r="58">
      <c r="A58" s="119">
        <v>56.0</v>
      </c>
      <c r="B58" s="120" t="s">
        <v>858</v>
      </c>
      <c r="C58" s="125"/>
      <c r="D58" s="126" t="s">
        <v>899</v>
      </c>
      <c r="E58" s="126"/>
      <c r="F58" s="125"/>
      <c r="G58" s="119">
        <v>2.0</v>
      </c>
      <c r="H58" s="119" t="s">
        <v>857</v>
      </c>
      <c r="I58" s="124" t="str">
        <f t="shared" si="1"/>
        <v/>
      </c>
      <c r="J58" s="120" t="s">
        <v>814</v>
      </c>
    </row>
    <row r="59">
      <c r="A59" s="119">
        <v>57.0</v>
      </c>
      <c r="B59" s="120" t="s">
        <v>858</v>
      </c>
      <c r="C59" s="125"/>
      <c r="D59" s="126" t="s">
        <v>900</v>
      </c>
      <c r="E59" s="126"/>
      <c r="F59" s="125"/>
      <c r="G59" s="119">
        <v>2.0</v>
      </c>
      <c r="H59" s="119" t="s">
        <v>857</v>
      </c>
      <c r="I59" s="124" t="str">
        <f t="shared" si="1"/>
        <v/>
      </c>
      <c r="J59" s="120" t="s">
        <v>814</v>
      </c>
    </row>
    <row r="60">
      <c r="A60" s="119">
        <v>58.0</v>
      </c>
      <c r="B60" s="120" t="s">
        <v>858</v>
      </c>
      <c r="C60" s="125"/>
      <c r="D60" s="126" t="s">
        <v>901</v>
      </c>
      <c r="E60" s="126"/>
      <c r="F60" s="125"/>
      <c r="G60" s="119">
        <v>2.0</v>
      </c>
      <c r="H60" s="119" t="s">
        <v>857</v>
      </c>
      <c r="I60" s="124" t="str">
        <f t="shared" si="1"/>
        <v/>
      </c>
      <c r="J60" s="120" t="s">
        <v>814</v>
      </c>
    </row>
    <row r="61">
      <c r="A61" s="119">
        <v>59.0</v>
      </c>
      <c r="B61" s="120" t="s">
        <v>858</v>
      </c>
      <c r="C61" s="125"/>
      <c r="D61" s="126" t="s">
        <v>902</v>
      </c>
      <c r="E61" s="126"/>
      <c r="F61" s="125"/>
      <c r="G61" s="119">
        <v>600.0</v>
      </c>
      <c r="H61" s="119" t="s">
        <v>866</v>
      </c>
      <c r="I61" s="124" t="str">
        <f t="shared" si="1"/>
        <v/>
      </c>
      <c r="J61" s="120" t="s">
        <v>105</v>
      </c>
    </row>
    <row r="62">
      <c r="A62" s="119">
        <v>60.0</v>
      </c>
      <c r="B62" s="120" t="s">
        <v>903</v>
      </c>
      <c r="C62" s="120" t="s">
        <v>13</v>
      </c>
      <c r="D62" s="122" t="s">
        <v>904</v>
      </c>
      <c r="E62" s="126"/>
      <c r="F62" s="125"/>
      <c r="G62" s="119">
        <v>30.0</v>
      </c>
      <c r="H62" s="119" t="s">
        <v>818</v>
      </c>
      <c r="I62" s="124" t="str">
        <f t="shared" si="1"/>
        <v/>
      </c>
      <c r="J62" s="120" t="s">
        <v>814</v>
      </c>
    </row>
    <row r="63">
      <c r="A63" s="119">
        <v>61.0</v>
      </c>
      <c r="B63" s="120" t="s">
        <v>903</v>
      </c>
      <c r="C63" s="120" t="s">
        <v>19</v>
      </c>
      <c r="D63" s="122" t="s">
        <v>905</v>
      </c>
      <c r="E63" s="126"/>
      <c r="F63" s="125"/>
      <c r="G63" s="119">
        <v>50.0</v>
      </c>
      <c r="H63" s="119" t="s">
        <v>818</v>
      </c>
      <c r="I63" s="124" t="str">
        <f t="shared" si="1"/>
        <v/>
      </c>
      <c r="J63" s="120" t="s">
        <v>814</v>
      </c>
    </row>
    <row r="64">
      <c r="A64" s="119">
        <v>62.0</v>
      </c>
      <c r="B64" s="120" t="s">
        <v>903</v>
      </c>
      <c r="C64" s="120" t="s">
        <v>23</v>
      </c>
      <c r="D64" s="122" t="s">
        <v>906</v>
      </c>
      <c r="E64" s="126"/>
      <c r="F64" s="125"/>
      <c r="G64" s="119">
        <v>40.0</v>
      </c>
      <c r="H64" s="119" t="s">
        <v>818</v>
      </c>
      <c r="I64" s="124" t="str">
        <f t="shared" si="1"/>
        <v/>
      </c>
      <c r="J64" s="120" t="s">
        <v>814</v>
      </c>
    </row>
    <row r="65">
      <c r="A65" s="119">
        <v>63.0</v>
      </c>
      <c r="B65" s="120" t="s">
        <v>903</v>
      </c>
      <c r="C65" s="120" t="s">
        <v>26</v>
      </c>
      <c r="D65" s="122" t="s">
        <v>907</v>
      </c>
      <c r="E65" s="126"/>
      <c r="F65" s="125"/>
      <c r="G65" s="119"/>
      <c r="H65" s="119"/>
      <c r="I65" s="124" t="str">
        <f t="shared" si="1"/>
        <v/>
      </c>
      <c r="J65" s="120" t="s">
        <v>814</v>
      </c>
    </row>
    <row r="66">
      <c r="A66" s="119">
        <v>64.0</v>
      </c>
      <c r="B66" s="120" t="s">
        <v>903</v>
      </c>
      <c r="C66" s="120" t="s">
        <v>29</v>
      </c>
      <c r="D66" s="126" t="s">
        <v>908</v>
      </c>
      <c r="E66" s="126"/>
      <c r="F66" s="125"/>
      <c r="G66" s="119">
        <v>30.0</v>
      </c>
      <c r="H66" s="119" t="s">
        <v>818</v>
      </c>
      <c r="I66" s="124" t="str">
        <f t="shared" si="1"/>
        <v/>
      </c>
      <c r="J66" s="120" t="s">
        <v>814</v>
      </c>
    </row>
    <row r="67">
      <c r="A67" s="119">
        <v>65.0</v>
      </c>
      <c r="B67" s="120" t="s">
        <v>903</v>
      </c>
      <c r="C67" s="120" t="s">
        <v>33</v>
      </c>
      <c r="D67" s="126" t="s">
        <v>909</v>
      </c>
      <c r="E67" s="126"/>
      <c r="F67" s="125"/>
      <c r="G67" s="119">
        <v>30.0</v>
      </c>
      <c r="H67" s="119" t="s">
        <v>818</v>
      </c>
      <c r="I67" s="124" t="str">
        <f t="shared" si="1"/>
        <v/>
      </c>
      <c r="J67" s="120" t="s">
        <v>814</v>
      </c>
    </row>
    <row r="68">
      <c r="A68" s="119">
        <v>66.0</v>
      </c>
      <c r="B68" s="120" t="s">
        <v>903</v>
      </c>
      <c r="C68" s="120" t="s">
        <v>35</v>
      </c>
      <c r="D68" s="126" t="s">
        <v>910</v>
      </c>
      <c r="E68" s="126"/>
      <c r="F68" s="125"/>
      <c r="G68" s="119">
        <v>30.0</v>
      </c>
      <c r="H68" s="119" t="s">
        <v>818</v>
      </c>
      <c r="I68" s="124" t="str">
        <f t="shared" si="1"/>
        <v/>
      </c>
      <c r="J68" s="120" t="s">
        <v>814</v>
      </c>
    </row>
    <row r="69">
      <c r="A69" s="119">
        <v>67.0</v>
      </c>
      <c r="B69" s="120" t="s">
        <v>903</v>
      </c>
      <c r="C69" s="120" t="s">
        <v>38</v>
      </c>
      <c r="D69" s="126" t="s">
        <v>911</v>
      </c>
      <c r="E69" s="126"/>
      <c r="F69" s="125"/>
      <c r="G69" s="119">
        <v>30.0</v>
      </c>
      <c r="H69" s="119" t="s">
        <v>818</v>
      </c>
      <c r="I69" s="124" t="str">
        <f t="shared" si="1"/>
        <v/>
      </c>
      <c r="J69" s="120" t="s">
        <v>814</v>
      </c>
    </row>
    <row r="70">
      <c r="A70" s="119">
        <v>68.0</v>
      </c>
      <c r="B70" s="120" t="s">
        <v>903</v>
      </c>
      <c r="C70" s="125"/>
      <c r="D70" s="126" t="s">
        <v>53</v>
      </c>
      <c r="E70" s="126"/>
      <c r="F70" s="125"/>
      <c r="G70" s="119">
        <v>80.0</v>
      </c>
      <c r="H70" s="119" t="s">
        <v>204</v>
      </c>
      <c r="I70" s="124" t="str">
        <f t="shared" si="1"/>
        <v/>
      </c>
      <c r="J70" s="120" t="s">
        <v>814</v>
      </c>
    </row>
    <row r="71">
      <c r="A71" s="119">
        <v>69.0</v>
      </c>
      <c r="B71" s="120" t="s">
        <v>903</v>
      </c>
      <c r="C71" s="125"/>
      <c r="D71" s="126" t="s">
        <v>57</v>
      </c>
      <c r="E71" s="126"/>
      <c r="F71" s="125"/>
      <c r="G71" s="119">
        <v>80.0</v>
      </c>
      <c r="H71" s="119" t="s">
        <v>204</v>
      </c>
      <c r="I71" s="124" t="str">
        <f t="shared" si="1"/>
        <v/>
      </c>
      <c r="J71" s="120" t="s">
        <v>814</v>
      </c>
    </row>
    <row r="72">
      <c r="A72" s="119">
        <v>70.0</v>
      </c>
      <c r="B72" s="120" t="s">
        <v>903</v>
      </c>
      <c r="C72" s="120" t="s">
        <v>47</v>
      </c>
      <c r="D72" s="126" t="s">
        <v>42</v>
      </c>
      <c r="E72" s="126"/>
      <c r="F72" s="125"/>
      <c r="G72" s="119">
        <v>80.0</v>
      </c>
      <c r="H72" s="119" t="s">
        <v>327</v>
      </c>
      <c r="I72" s="124" t="str">
        <f t="shared" si="1"/>
        <v/>
      </c>
      <c r="J72" s="120" t="s">
        <v>814</v>
      </c>
    </row>
    <row r="73">
      <c r="A73" s="119">
        <v>71.0</v>
      </c>
      <c r="B73" s="120" t="s">
        <v>903</v>
      </c>
      <c r="C73" s="120" t="s">
        <v>63</v>
      </c>
      <c r="D73" s="126" t="s">
        <v>912</v>
      </c>
      <c r="E73" s="126"/>
      <c r="F73" s="125"/>
      <c r="G73" s="119">
        <v>100.0</v>
      </c>
      <c r="H73" s="119" t="s">
        <v>818</v>
      </c>
      <c r="I73" s="124" t="str">
        <f t="shared" si="1"/>
        <v/>
      </c>
      <c r="J73" s="120" t="s">
        <v>814</v>
      </c>
    </row>
    <row r="74">
      <c r="A74" s="119">
        <v>72.0</v>
      </c>
      <c r="B74" s="120" t="s">
        <v>903</v>
      </c>
      <c r="C74" s="120" t="s">
        <v>60</v>
      </c>
      <c r="D74" s="126" t="s">
        <v>913</v>
      </c>
      <c r="E74" s="126"/>
      <c r="F74" s="125"/>
      <c r="G74" s="119">
        <v>100.0</v>
      </c>
      <c r="H74" s="119" t="s">
        <v>818</v>
      </c>
      <c r="I74" s="124" t="str">
        <f t="shared" si="1"/>
        <v/>
      </c>
      <c r="J74" s="120" t="s">
        <v>814</v>
      </c>
    </row>
    <row r="75">
      <c r="A75" s="119">
        <v>73.0</v>
      </c>
      <c r="B75" s="120" t="s">
        <v>903</v>
      </c>
      <c r="C75" s="125"/>
      <c r="D75" s="126" t="s">
        <v>914</v>
      </c>
      <c r="E75" s="126"/>
      <c r="F75" s="125"/>
      <c r="G75" s="119">
        <v>20.0</v>
      </c>
      <c r="H75" s="119" t="s">
        <v>204</v>
      </c>
      <c r="I75" s="124" t="str">
        <f t="shared" si="1"/>
        <v/>
      </c>
      <c r="J75" s="120" t="s">
        <v>814</v>
      </c>
    </row>
    <row r="76">
      <c r="A76" s="119">
        <v>74.0</v>
      </c>
      <c r="B76" s="120" t="s">
        <v>915</v>
      </c>
      <c r="C76" s="125"/>
      <c r="D76" s="126" t="s">
        <v>916</v>
      </c>
      <c r="E76" s="126"/>
      <c r="F76" s="125"/>
      <c r="G76" s="119">
        <v>40.0</v>
      </c>
      <c r="H76" s="119" t="s">
        <v>818</v>
      </c>
      <c r="I76" s="124" t="str">
        <f t="shared" si="1"/>
        <v/>
      </c>
      <c r="J76" s="120" t="s">
        <v>105</v>
      </c>
    </row>
    <row r="77">
      <c r="A77" s="119">
        <v>75.0</v>
      </c>
      <c r="B77" s="120" t="s">
        <v>915</v>
      </c>
      <c r="C77" s="125"/>
      <c r="D77" s="126" t="s">
        <v>917</v>
      </c>
      <c r="E77" s="126"/>
      <c r="F77" s="125"/>
      <c r="G77" s="119">
        <v>40.0</v>
      </c>
      <c r="H77" s="119" t="s">
        <v>818</v>
      </c>
      <c r="I77" s="124" t="str">
        <f t="shared" si="1"/>
        <v/>
      </c>
      <c r="J77" s="120" t="s">
        <v>105</v>
      </c>
    </row>
    <row r="78">
      <c r="A78" s="119">
        <v>76.0</v>
      </c>
      <c r="B78" s="120" t="s">
        <v>915</v>
      </c>
      <c r="C78" s="120" t="s">
        <v>532</v>
      </c>
      <c r="D78" s="126" t="s">
        <v>918</v>
      </c>
      <c r="E78" s="126"/>
      <c r="F78" s="125"/>
      <c r="G78" s="119">
        <v>50.0</v>
      </c>
      <c r="H78" s="119" t="s">
        <v>818</v>
      </c>
      <c r="I78" s="124" t="str">
        <f t="shared" si="1"/>
        <v/>
      </c>
      <c r="J78" s="120" t="s">
        <v>814</v>
      </c>
    </row>
    <row r="79">
      <c r="A79" s="119">
        <v>77.0</v>
      </c>
      <c r="B79" s="120" t="s">
        <v>915</v>
      </c>
      <c r="C79" s="125"/>
      <c r="D79" s="126" t="s">
        <v>919</v>
      </c>
      <c r="E79" s="126"/>
      <c r="F79" s="125"/>
      <c r="G79" s="119">
        <v>50.0</v>
      </c>
      <c r="H79" s="119" t="s">
        <v>818</v>
      </c>
      <c r="I79" s="124" t="str">
        <f t="shared" si="1"/>
        <v/>
      </c>
      <c r="J79" s="120" t="s">
        <v>814</v>
      </c>
    </row>
    <row r="80">
      <c r="A80" s="119">
        <v>78.0</v>
      </c>
      <c r="B80" s="120" t="s">
        <v>915</v>
      </c>
      <c r="C80" s="120" t="s">
        <v>528</v>
      </c>
      <c r="D80" s="126" t="s">
        <v>920</v>
      </c>
      <c r="E80" s="126"/>
      <c r="F80" s="125"/>
      <c r="G80" s="119">
        <v>50.0</v>
      </c>
      <c r="H80" s="119" t="s">
        <v>818</v>
      </c>
      <c r="I80" s="124" t="str">
        <f t="shared" si="1"/>
        <v/>
      </c>
      <c r="J80" s="120" t="s">
        <v>814</v>
      </c>
    </row>
    <row r="81">
      <c r="A81" s="119">
        <v>79.0</v>
      </c>
      <c r="B81" s="120" t="s">
        <v>915</v>
      </c>
      <c r="C81" s="125"/>
      <c r="D81" s="126" t="s">
        <v>921</v>
      </c>
      <c r="E81" s="126"/>
      <c r="F81" s="125"/>
      <c r="G81" s="119">
        <v>50.0</v>
      </c>
      <c r="H81" s="119" t="s">
        <v>818</v>
      </c>
      <c r="I81" s="124" t="str">
        <f t="shared" si="1"/>
        <v/>
      </c>
      <c r="J81" s="120" t="s">
        <v>814</v>
      </c>
    </row>
    <row r="82">
      <c r="A82" s="119">
        <v>80.0</v>
      </c>
      <c r="B82" s="120" t="s">
        <v>915</v>
      </c>
      <c r="C82" s="125"/>
      <c r="D82" s="126" t="s">
        <v>922</v>
      </c>
      <c r="E82" s="126"/>
      <c r="F82" s="125"/>
      <c r="G82" s="119">
        <v>200.0</v>
      </c>
      <c r="H82" s="119" t="s">
        <v>818</v>
      </c>
      <c r="I82" s="124" t="str">
        <f t="shared" si="1"/>
        <v/>
      </c>
      <c r="J82" s="120" t="s">
        <v>105</v>
      </c>
    </row>
    <row r="83">
      <c r="A83" s="119">
        <v>81.0</v>
      </c>
      <c r="B83" s="120" t="s">
        <v>823</v>
      </c>
      <c r="C83" s="125"/>
      <c r="D83" s="126" t="s">
        <v>923</v>
      </c>
      <c r="E83" s="126"/>
      <c r="F83" s="125"/>
      <c r="G83" s="119">
        <v>20.0</v>
      </c>
      <c r="H83" s="119" t="s">
        <v>924</v>
      </c>
      <c r="I83" s="124" t="str">
        <f t="shared" si="1"/>
        <v/>
      </c>
      <c r="J83" s="120" t="s">
        <v>105</v>
      </c>
    </row>
    <row r="84">
      <c r="A84" s="119">
        <v>82.0</v>
      </c>
      <c r="B84" s="120" t="s">
        <v>823</v>
      </c>
      <c r="C84" s="125"/>
      <c r="D84" s="126" t="s">
        <v>925</v>
      </c>
      <c r="E84" s="126"/>
      <c r="F84" s="125"/>
      <c r="G84" s="119">
        <v>250.0</v>
      </c>
      <c r="H84" s="119" t="s">
        <v>866</v>
      </c>
      <c r="I84" s="124" t="str">
        <f t="shared" si="1"/>
        <v/>
      </c>
      <c r="J84" s="120" t="s">
        <v>105</v>
      </c>
    </row>
    <row r="85">
      <c r="A85" s="119">
        <v>83.0</v>
      </c>
      <c r="B85" s="120" t="s">
        <v>823</v>
      </c>
      <c r="C85" s="125"/>
      <c r="D85" s="126" t="s">
        <v>926</v>
      </c>
      <c r="E85" s="126"/>
      <c r="F85" s="125"/>
      <c r="G85" s="119">
        <v>250.0</v>
      </c>
      <c r="H85" s="119" t="s">
        <v>866</v>
      </c>
      <c r="I85" s="124" t="str">
        <f t="shared" si="1"/>
        <v/>
      </c>
      <c r="J85" s="120" t="s">
        <v>105</v>
      </c>
    </row>
    <row r="86">
      <c r="A86" s="119">
        <v>84.0</v>
      </c>
      <c r="B86" s="120" t="s">
        <v>823</v>
      </c>
      <c r="C86" s="125"/>
      <c r="D86" s="126" t="s">
        <v>927</v>
      </c>
      <c r="E86" s="126"/>
      <c r="F86" s="125"/>
      <c r="G86" s="119">
        <v>250.0</v>
      </c>
      <c r="H86" s="119" t="s">
        <v>866</v>
      </c>
      <c r="I86" s="124" t="str">
        <f t="shared" si="1"/>
        <v/>
      </c>
      <c r="J86" s="120" t="s">
        <v>105</v>
      </c>
    </row>
    <row r="87">
      <c r="A87" s="119">
        <v>85.0</v>
      </c>
      <c r="B87" s="120" t="s">
        <v>823</v>
      </c>
      <c r="C87" s="125"/>
      <c r="D87" s="126" t="s">
        <v>928</v>
      </c>
      <c r="E87" s="126"/>
      <c r="F87" s="125"/>
      <c r="G87" s="119">
        <v>5.0</v>
      </c>
      <c r="H87" s="119" t="s">
        <v>818</v>
      </c>
      <c r="I87" s="124" t="str">
        <f t="shared" si="1"/>
        <v/>
      </c>
      <c r="J87" s="120" t="s">
        <v>105</v>
      </c>
    </row>
    <row r="88">
      <c r="A88" s="119">
        <v>86.0</v>
      </c>
      <c r="B88" s="120" t="s">
        <v>929</v>
      </c>
      <c r="C88" s="120" t="s">
        <v>495</v>
      </c>
      <c r="D88" s="126" t="s">
        <v>496</v>
      </c>
      <c r="E88" s="126"/>
      <c r="F88" s="125"/>
      <c r="G88" s="119">
        <v>200.0</v>
      </c>
      <c r="H88" s="119" t="s">
        <v>818</v>
      </c>
      <c r="I88" s="124" t="str">
        <f t="shared" si="1"/>
        <v/>
      </c>
      <c r="J88" s="120" t="s">
        <v>814</v>
      </c>
    </row>
    <row r="89">
      <c r="A89" s="119">
        <v>87.0</v>
      </c>
      <c r="B89" s="120" t="s">
        <v>812</v>
      </c>
      <c r="C89" s="125"/>
      <c r="D89" s="135" t="s">
        <v>155</v>
      </c>
      <c r="E89" s="125"/>
      <c r="F89" s="125"/>
      <c r="G89" s="119">
        <v>1.0</v>
      </c>
      <c r="H89" s="119" t="s">
        <v>930</v>
      </c>
      <c r="I89" s="124" t="str">
        <f t="shared" si="1"/>
        <v/>
      </c>
      <c r="J89" s="120" t="s">
        <v>814</v>
      </c>
    </row>
    <row r="90">
      <c r="A90" s="119">
        <v>88.0</v>
      </c>
      <c r="B90" s="120" t="s">
        <v>812</v>
      </c>
      <c r="C90" s="125"/>
      <c r="D90" s="135" t="s">
        <v>162</v>
      </c>
      <c r="E90" s="125"/>
      <c r="F90" s="125"/>
      <c r="G90" s="119">
        <v>1.0</v>
      </c>
      <c r="H90" s="119" t="s">
        <v>80</v>
      </c>
      <c r="I90" s="124" t="str">
        <f t="shared" si="1"/>
        <v/>
      </c>
      <c r="J90" s="120" t="s">
        <v>105</v>
      </c>
    </row>
    <row r="91">
      <c r="A91" s="125"/>
      <c r="B91" s="125"/>
      <c r="C91" s="125"/>
      <c r="D91" s="125"/>
      <c r="E91" s="125"/>
      <c r="F91" s="125"/>
      <c r="G91" s="125"/>
      <c r="H91" s="125"/>
      <c r="I91" s="124" t="str">
        <f t="shared" si="1"/>
        <v/>
      </c>
      <c r="J91" s="125"/>
    </row>
    <row r="92">
      <c r="A92" s="125"/>
      <c r="B92" s="125"/>
      <c r="C92" s="125"/>
      <c r="D92" s="125"/>
      <c r="E92" s="125"/>
      <c r="F92" s="125"/>
      <c r="G92" s="125"/>
      <c r="H92" s="125"/>
      <c r="I92" s="124" t="str">
        <f t="shared" si="1"/>
        <v/>
      </c>
      <c r="J92" s="125"/>
    </row>
    <row r="93">
      <c r="A93" s="125"/>
      <c r="B93" s="125"/>
      <c r="C93" s="125"/>
      <c r="D93" s="125"/>
      <c r="E93" s="125"/>
      <c r="F93" s="125"/>
      <c r="G93" s="125"/>
      <c r="H93" s="125"/>
      <c r="I93" s="124" t="str">
        <f t="shared" si="1"/>
        <v/>
      </c>
      <c r="J93" s="125"/>
    </row>
    <row r="94">
      <c r="A94" s="125"/>
      <c r="B94" s="125"/>
      <c r="C94" s="125"/>
      <c r="D94" s="125"/>
      <c r="E94" s="125"/>
      <c r="F94" s="125"/>
      <c r="G94" s="125"/>
      <c r="H94" s="125"/>
      <c r="I94" s="124" t="str">
        <f t="shared" si="1"/>
        <v/>
      </c>
      <c r="J94" s="125"/>
    </row>
    <row r="95">
      <c r="A95" s="125"/>
      <c r="B95" s="125"/>
      <c r="C95" s="125"/>
      <c r="D95" s="125"/>
      <c r="E95" s="125"/>
      <c r="F95" s="125"/>
      <c r="G95" s="125"/>
      <c r="H95" s="125"/>
      <c r="I95" s="124" t="str">
        <f t="shared" si="1"/>
        <v/>
      </c>
      <c r="J95" s="125"/>
    </row>
    <row r="96">
      <c r="A96" s="125"/>
      <c r="B96" s="125"/>
      <c r="C96" s="125"/>
      <c r="D96" s="125"/>
      <c r="E96" s="125"/>
      <c r="F96" s="125"/>
      <c r="G96" s="125"/>
      <c r="H96" s="125"/>
      <c r="I96" s="124" t="str">
        <f t="shared" si="1"/>
        <v/>
      </c>
      <c r="J96" s="125"/>
    </row>
    <row r="97">
      <c r="A97" s="125"/>
      <c r="B97" s="125"/>
      <c r="C97" s="125"/>
      <c r="D97" s="125"/>
      <c r="E97" s="125"/>
      <c r="F97" s="125"/>
      <c r="G97" s="125"/>
      <c r="H97" s="125"/>
      <c r="I97" s="124" t="str">
        <f t="shared" si="1"/>
        <v/>
      </c>
      <c r="J97" s="125"/>
    </row>
    <row r="98">
      <c r="A98" s="125"/>
      <c r="B98" s="125"/>
      <c r="C98" s="125"/>
      <c r="D98" s="125"/>
      <c r="E98" s="125"/>
      <c r="F98" s="125"/>
      <c r="G98" s="125"/>
      <c r="H98" s="125"/>
      <c r="I98" s="124" t="str">
        <f t="shared" si="1"/>
        <v/>
      </c>
      <c r="J98" s="125"/>
    </row>
    <row r="99">
      <c r="A99" s="125"/>
      <c r="B99" s="125"/>
      <c r="C99" s="125"/>
      <c r="D99" s="125"/>
      <c r="E99" s="125"/>
      <c r="F99" s="125"/>
      <c r="G99" s="125"/>
      <c r="H99" s="125"/>
      <c r="I99" s="124" t="str">
        <f t="shared" si="1"/>
        <v/>
      </c>
      <c r="J99" s="125"/>
    </row>
    <row r="100">
      <c r="A100" s="125"/>
      <c r="B100" s="125"/>
      <c r="C100" s="125"/>
      <c r="D100" s="125"/>
      <c r="E100" s="125"/>
      <c r="F100" s="125"/>
      <c r="G100" s="125"/>
      <c r="H100" s="125"/>
      <c r="I100" s="124" t="str">
        <f t="shared" si="1"/>
        <v/>
      </c>
      <c r="J100" s="125"/>
    </row>
    <row r="101">
      <c r="A101" s="125"/>
      <c r="B101" s="125"/>
      <c r="C101" s="125"/>
      <c r="D101" s="125"/>
      <c r="E101" s="125"/>
      <c r="F101" s="125"/>
      <c r="G101" s="125"/>
      <c r="H101" s="125"/>
      <c r="I101" s="124" t="str">
        <f t="shared" si="1"/>
        <v/>
      </c>
      <c r="J101" s="125"/>
    </row>
    <row r="102">
      <c r="A102" s="125"/>
      <c r="B102" s="125"/>
      <c r="C102" s="125"/>
      <c r="D102" s="125"/>
      <c r="E102" s="125"/>
      <c r="F102" s="125"/>
      <c r="G102" s="125"/>
      <c r="H102" s="125"/>
      <c r="I102" s="124" t="str">
        <f t="shared" si="1"/>
        <v/>
      </c>
      <c r="J102" s="125"/>
    </row>
    <row r="103">
      <c r="A103" s="125"/>
      <c r="B103" s="125"/>
      <c r="C103" s="125"/>
      <c r="D103" s="125"/>
      <c r="E103" s="125"/>
      <c r="F103" s="125"/>
      <c r="G103" s="125"/>
      <c r="H103" s="125"/>
      <c r="I103" s="124" t="str">
        <f t="shared" si="1"/>
        <v/>
      </c>
      <c r="J103" s="125"/>
    </row>
    <row r="104">
      <c r="A104" s="125"/>
      <c r="B104" s="125"/>
      <c r="C104" s="125"/>
      <c r="D104" s="125"/>
      <c r="E104" s="125"/>
      <c r="F104" s="125"/>
      <c r="G104" s="125"/>
      <c r="H104" s="125"/>
      <c r="I104" s="124" t="str">
        <f t="shared" si="1"/>
        <v/>
      </c>
      <c r="J104" s="125"/>
    </row>
    <row r="105">
      <c r="A105" s="125"/>
      <c r="B105" s="125"/>
      <c r="C105" s="125"/>
      <c r="D105" s="125"/>
      <c r="E105" s="125"/>
      <c r="F105" s="125"/>
      <c r="G105" s="125"/>
      <c r="H105" s="125"/>
      <c r="I105" s="124" t="str">
        <f t="shared" si="1"/>
        <v/>
      </c>
      <c r="J105" s="125"/>
    </row>
    <row r="106">
      <c r="A106" s="125"/>
      <c r="B106" s="125"/>
      <c r="C106" s="125"/>
      <c r="D106" s="125"/>
      <c r="E106" s="125"/>
      <c r="F106" s="125"/>
      <c r="G106" s="125"/>
      <c r="H106" s="125"/>
      <c r="I106" s="124" t="str">
        <f t="shared" si="1"/>
        <v/>
      </c>
      <c r="J106" s="125"/>
    </row>
    <row r="107">
      <c r="A107" s="125"/>
      <c r="B107" s="125"/>
      <c r="C107" s="125"/>
      <c r="D107" s="125"/>
      <c r="E107" s="125"/>
      <c r="F107" s="125"/>
      <c r="G107" s="125"/>
      <c r="H107" s="125"/>
      <c r="I107" s="124" t="str">
        <f t="shared" si="1"/>
        <v/>
      </c>
      <c r="J107" s="125"/>
    </row>
    <row r="108">
      <c r="A108" s="125"/>
      <c r="B108" s="125"/>
      <c r="C108" s="125"/>
      <c r="D108" s="125"/>
      <c r="E108" s="125"/>
      <c r="F108" s="125"/>
      <c r="G108" s="125"/>
      <c r="H108" s="125"/>
      <c r="I108" s="124" t="str">
        <f t="shared" si="1"/>
        <v/>
      </c>
      <c r="J108" s="125"/>
    </row>
    <row r="109">
      <c r="A109" s="125"/>
      <c r="B109" s="125"/>
      <c r="C109" s="125"/>
      <c r="D109" s="125"/>
      <c r="E109" s="125"/>
      <c r="F109" s="125"/>
      <c r="G109" s="125"/>
      <c r="H109" s="125"/>
      <c r="I109" s="124" t="str">
        <f t="shared" si="1"/>
        <v/>
      </c>
      <c r="J109" s="125"/>
    </row>
    <row r="110">
      <c r="A110" s="125"/>
      <c r="B110" s="125"/>
      <c r="C110" s="125"/>
      <c r="D110" s="125"/>
      <c r="E110" s="125"/>
      <c r="F110" s="125"/>
      <c r="G110" s="125"/>
      <c r="H110" s="125"/>
      <c r="I110" s="124" t="str">
        <f t="shared" si="1"/>
        <v/>
      </c>
      <c r="J110" s="125"/>
    </row>
    <row r="111">
      <c r="A111" s="125"/>
      <c r="B111" s="125"/>
      <c r="C111" s="125"/>
      <c r="D111" s="125"/>
      <c r="E111" s="125"/>
      <c r="F111" s="125"/>
      <c r="G111" s="125"/>
      <c r="H111" s="125"/>
      <c r="I111" s="124" t="str">
        <f t="shared" si="1"/>
        <v/>
      </c>
      <c r="J111" s="125"/>
    </row>
    <row r="112">
      <c r="A112" s="125"/>
      <c r="B112" s="125"/>
      <c r="C112" s="125"/>
      <c r="D112" s="125"/>
      <c r="E112" s="125"/>
      <c r="F112" s="125"/>
      <c r="G112" s="125"/>
      <c r="H112" s="125"/>
      <c r="I112" s="124" t="str">
        <f t="shared" si="1"/>
        <v/>
      </c>
      <c r="J112" s="125"/>
    </row>
    <row r="113">
      <c r="A113" s="125"/>
      <c r="B113" s="125"/>
      <c r="C113" s="125"/>
      <c r="D113" s="125"/>
      <c r="E113" s="125"/>
      <c r="F113" s="125"/>
      <c r="G113" s="125"/>
      <c r="H113" s="125"/>
      <c r="I113" s="124" t="str">
        <f t="shared" si="1"/>
        <v/>
      </c>
      <c r="J113" s="125"/>
    </row>
    <row r="114">
      <c r="A114" s="125"/>
      <c r="B114" s="125"/>
      <c r="C114" s="125"/>
      <c r="D114" s="125"/>
      <c r="E114" s="125"/>
      <c r="F114" s="125"/>
      <c r="G114" s="125"/>
      <c r="H114" s="125"/>
      <c r="I114" s="124" t="str">
        <f t="shared" si="1"/>
        <v/>
      </c>
      <c r="J114" s="125"/>
    </row>
    <row r="115">
      <c r="A115" s="125"/>
      <c r="B115" s="125"/>
      <c r="C115" s="125"/>
      <c r="D115" s="125"/>
      <c r="E115" s="125"/>
      <c r="F115" s="125"/>
      <c r="G115" s="125"/>
      <c r="H115" s="125"/>
      <c r="I115" s="124" t="str">
        <f t="shared" si="1"/>
        <v/>
      </c>
      <c r="J115" s="125"/>
    </row>
    <row r="116">
      <c r="A116" s="125"/>
      <c r="B116" s="125"/>
      <c r="C116" s="125"/>
      <c r="D116" s="125"/>
      <c r="E116" s="125"/>
      <c r="F116" s="125"/>
      <c r="G116" s="125"/>
      <c r="H116" s="125"/>
      <c r="I116" s="124" t="str">
        <f t="shared" si="1"/>
        <v/>
      </c>
      <c r="J116" s="125"/>
    </row>
    <row r="117">
      <c r="A117" s="125"/>
      <c r="B117" s="125"/>
      <c r="C117" s="125"/>
      <c r="D117" s="125"/>
      <c r="E117" s="125"/>
      <c r="F117" s="125"/>
      <c r="G117" s="125"/>
      <c r="H117" s="125"/>
      <c r="I117" s="124" t="str">
        <f t="shared" si="1"/>
        <v/>
      </c>
      <c r="J117" s="125"/>
    </row>
    <row r="118">
      <c r="A118" s="125"/>
      <c r="B118" s="125"/>
      <c r="C118" s="125"/>
      <c r="D118" s="125"/>
      <c r="E118" s="125"/>
      <c r="F118" s="125"/>
      <c r="G118" s="125"/>
      <c r="H118" s="125"/>
      <c r="I118" s="124" t="str">
        <f t="shared" si="1"/>
        <v/>
      </c>
      <c r="J118" s="125"/>
    </row>
    <row r="119">
      <c r="A119" s="125"/>
      <c r="B119" s="125"/>
      <c r="C119" s="125"/>
      <c r="D119" s="125"/>
      <c r="E119" s="125"/>
      <c r="F119" s="125"/>
      <c r="G119" s="125"/>
      <c r="H119" s="125"/>
      <c r="I119" s="124" t="str">
        <f t="shared" si="1"/>
        <v/>
      </c>
      <c r="J119" s="125"/>
    </row>
    <row r="120">
      <c r="A120" s="125"/>
      <c r="B120" s="125"/>
      <c r="C120" s="125"/>
      <c r="D120" s="125"/>
      <c r="E120" s="125"/>
      <c r="F120" s="125"/>
      <c r="G120" s="125"/>
      <c r="H120" s="125"/>
      <c r="I120" s="124" t="str">
        <f t="shared" si="1"/>
        <v/>
      </c>
      <c r="J120" s="125"/>
    </row>
    <row r="121">
      <c r="A121" s="125"/>
      <c r="B121" s="125"/>
      <c r="C121" s="125"/>
      <c r="D121" s="125"/>
      <c r="E121" s="125"/>
      <c r="F121" s="125"/>
      <c r="G121" s="125"/>
      <c r="H121" s="125"/>
      <c r="I121" s="124" t="str">
        <f t="shared" si="1"/>
        <v/>
      </c>
      <c r="J121" s="125"/>
    </row>
    <row r="122">
      <c r="A122" s="125"/>
      <c r="B122" s="125"/>
      <c r="C122" s="125"/>
      <c r="D122" s="125"/>
      <c r="E122" s="125"/>
      <c r="F122" s="125"/>
      <c r="G122" s="125"/>
      <c r="H122" s="125"/>
      <c r="I122" s="124" t="str">
        <f t="shared" si="1"/>
        <v/>
      </c>
      <c r="J122" s="125"/>
    </row>
    <row r="123">
      <c r="A123" s="125"/>
      <c r="B123" s="125"/>
      <c r="C123" s="125"/>
      <c r="D123" s="125"/>
      <c r="E123" s="125"/>
      <c r="F123" s="125"/>
      <c r="G123" s="125"/>
      <c r="H123" s="125"/>
      <c r="I123" s="124" t="str">
        <f t="shared" si="1"/>
        <v/>
      </c>
      <c r="J123" s="125"/>
    </row>
    <row r="124">
      <c r="A124" s="125"/>
      <c r="B124" s="125"/>
      <c r="C124" s="125"/>
      <c r="D124" s="125"/>
      <c r="E124" s="125"/>
      <c r="F124" s="125"/>
      <c r="G124" s="125"/>
      <c r="H124" s="125"/>
      <c r="I124" s="124" t="str">
        <f t="shared" si="1"/>
        <v/>
      </c>
      <c r="J124" s="125"/>
    </row>
    <row r="125">
      <c r="A125" s="125"/>
      <c r="B125" s="125"/>
      <c r="C125" s="125"/>
      <c r="D125" s="125"/>
      <c r="E125" s="125"/>
      <c r="F125" s="125"/>
      <c r="G125" s="125"/>
      <c r="H125" s="125"/>
      <c r="I125" s="124" t="str">
        <f t="shared" si="1"/>
        <v/>
      </c>
      <c r="J125" s="125"/>
    </row>
    <row r="126">
      <c r="A126" s="125"/>
      <c r="B126" s="125"/>
      <c r="C126" s="125"/>
      <c r="D126" s="125"/>
      <c r="E126" s="125"/>
      <c r="F126" s="125"/>
      <c r="G126" s="125"/>
      <c r="H126" s="125"/>
      <c r="I126" s="124" t="str">
        <f t="shared" si="1"/>
        <v/>
      </c>
      <c r="J126" s="125"/>
    </row>
    <row r="127">
      <c r="A127" s="125"/>
      <c r="B127" s="125"/>
      <c r="C127" s="125"/>
      <c r="D127" s="125"/>
      <c r="E127" s="125"/>
      <c r="F127" s="125"/>
      <c r="G127" s="125"/>
      <c r="H127" s="125"/>
      <c r="I127" s="124" t="str">
        <f t="shared" si="1"/>
        <v/>
      </c>
      <c r="J127" s="125"/>
    </row>
    <row r="128">
      <c r="A128" s="125"/>
      <c r="B128" s="125"/>
      <c r="C128" s="125"/>
      <c r="D128" s="125"/>
      <c r="E128" s="125"/>
      <c r="F128" s="125"/>
      <c r="G128" s="125"/>
      <c r="H128" s="125"/>
      <c r="I128" s="124" t="str">
        <f t="shared" si="1"/>
        <v/>
      </c>
      <c r="J128" s="125"/>
    </row>
    <row r="129">
      <c r="A129" s="125"/>
      <c r="B129" s="125"/>
      <c r="C129" s="125"/>
      <c r="D129" s="125"/>
      <c r="E129" s="125"/>
      <c r="F129" s="125"/>
      <c r="G129" s="125"/>
      <c r="H129" s="125"/>
      <c r="I129" s="124" t="str">
        <f t="shared" si="1"/>
        <v/>
      </c>
      <c r="J129" s="125"/>
    </row>
    <row r="130">
      <c r="A130" s="125"/>
      <c r="B130" s="125"/>
      <c r="C130" s="125"/>
      <c r="D130" s="125"/>
      <c r="E130" s="125"/>
      <c r="F130" s="125"/>
      <c r="G130" s="125"/>
      <c r="H130" s="125"/>
      <c r="I130" s="124" t="str">
        <f t="shared" si="1"/>
        <v/>
      </c>
      <c r="J130" s="125"/>
    </row>
    <row r="131">
      <c r="A131" s="125"/>
      <c r="B131" s="125"/>
      <c r="C131" s="125"/>
      <c r="D131" s="125"/>
      <c r="E131" s="125"/>
      <c r="F131" s="125"/>
      <c r="G131" s="125"/>
      <c r="H131" s="125"/>
      <c r="I131" s="124" t="str">
        <f t="shared" si="1"/>
        <v/>
      </c>
      <c r="J131" s="125"/>
    </row>
    <row r="132">
      <c r="A132" s="125"/>
      <c r="B132" s="125"/>
      <c r="C132" s="125"/>
      <c r="D132" s="125"/>
      <c r="E132" s="125"/>
      <c r="F132" s="125"/>
      <c r="G132" s="125"/>
      <c r="H132" s="125"/>
      <c r="I132" s="124" t="str">
        <f t="shared" si="1"/>
        <v/>
      </c>
      <c r="J132" s="125"/>
    </row>
    <row r="133">
      <c r="A133" s="125"/>
      <c r="B133" s="125"/>
      <c r="C133" s="125"/>
      <c r="D133" s="125"/>
      <c r="E133" s="125"/>
      <c r="F133" s="125"/>
      <c r="G133" s="125"/>
      <c r="H133" s="125"/>
      <c r="I133" s="124" t="str">
        <f t="shared" si="1"/>
        <v/>
      </c>
      <c r="J133" s="125"/>
    </row>
    <row r="134">
      <c r="A134" s="125"/>
      <c r="B134" s="125"/>
      <c r="C134" s="125"/>
      <c r="D134" s="125"/>
      <c r="E134" s="125"/>
      <c r="F134" s="125"/>
      <c r="G134" s="125"/>
      <c r="H134" s="125"/>
      <c r="I134" s="124" t="str">
        <f t="shared" si="1"/>
        <v/>
      </c>
      <c r="J134" s="125"/>
    </row>
    <row r="135">
      <c r="A135" s="125"/>
      <c r="B135" s="125"/>
      <c r="C135" s="125"/>
      <c r="D135" s="125"/>
      <c r="E135" s="125"/>
      <c r="F135" s="125"/>
      <c r="G135" s="125"/>
      <c r="H135" s="125"/>
      <c r="I135" s="124" t="str">
        <f t="shared" si="1"/>
        <v/>
      </c>
      <c r="J135" s="125"/>
    </row>
    <row r="136">
      <c r="A136" s="125"/>
      <c r="B136" s="125"/>
      <c r="C136" s="125"/>
      <c r="D136" s="125"/>
      <c r="E136" s="125"/>
      <c r="F136" s="125"/>
      <c r="G136" s="125"/>
      <c r="H136" s="125"/>
      <c r="I136" s="124" t="str">
        <f t="shared" si="1"/>
        <v/>
      </c>
      <c r="J136" s="125"/>
    </row>
    <row r="137">
      <c r="A137" s="125"/>
      <c r="B137" s="125"/>
      <c r="C137" s="125"/>
      <c r="D137" s="125"/>
      <c r="E137" s="125"/>
      <c r="F137" s="125"/>
      <c r="G137" s="125"/>
      <c r="H137" s="125"/>
      <c r="I137" s="124" t="str">
        <f t="shared" si="1"/>
        <v/>
      </c>
      <c r="J137" s="125"/>
    </row>
    <row r="138">
      <c r="A138" s="125"/>
      <c r="B138" s="125"/>
      <c r="C138" s="125"/>
      <c r="D138" s="125"/>
      <c r="E138" s="125"/>
      <c r="F138" s="125"/>
      <c r="G138" s="125"/>
      <c r="H138" s="125"/>
      <c r="I138" s="124" t="str">
        <f t="shared" si="1"/>
        <v/>
      </c>
      <c r="J138" s="125"/>
    </row>
    <row r="139">
      <c r="A139" s="125"/>
      <c r="B139" s="125"/>
      <c r="C139" s="125"/>
      <c r="D139" s="125"/>
      <c r="E139" s="125"/>
      <c r="F139" s="125"/>
      <c r="G139" s="125"/>
      <c r="H139" s="125"/>
      <c r="I139" s="124" t="str">
        <f t="shared" si="1"/>
        <v/>
      </c>
      <c r="J139" s="125"/>
    </row>
    <row r="140">
      <c r="A140" s="125"/>
      <c r="B140" s="125"/>
      <c r="C140" s="125"/>
      <c r="D140" s="125"/>
      <c r="E140" s="125"/>
      <c r="F140" s="125"/>
      <c r="G140" s="125"/>
      <c r="H140" s="125"/>
      <c r="I140" s="124" t="str">
        <f t="shared" si="1"/>
        <v/>
      </c>
      <c r="J140" s="125"/>
    </row>
    <row r="141">
      <c r="A141" s="125"/>
      <c r="B141" s="125"/>
      <c r="C141" s="125"/>
      <c r="D141" s="125"/>
      <c r="E141" s="125"/>
      <c r="F141" s="125"/>
      <c r="G141" s="125"/>
      <c r="H141" s="125"/>
      <c r="I141" s="124" t="str">
        <f t="shared" si="1"/>
        <v/>
      </c>
      <c r="J141" s="125"/>
    </row>
    <row r="142">
      <c r="A142" s="125"/>
      <c r="B142" s="125"/>
      <c r="C142" s="125"/>
      <c r="D142" s="125"/>
      <c r="E142" s="125"/>
      <c r="F142" s="125"/>
      <c r="G142" s="125"/>
      <c r="H142" s="125"/>
      <c r="I142" s="124" t="str">
        <f t="shared" si="1"/>
        <v/>
      </c>
      <c r="J142" s="125"/>
    </row>
    <row r="143">
      <c r="A143" s="125"/>
      <c r="B143" s="125"/>
      <c r="C143" s="125"/>
      <c r="D143" s="125"/>
      <c r="E143" s="125"/>
      <c r="F143" s="125"/>
      <c r="G143" s="125"/>
      <c r="H143" s="125"/>
      <c r="I143" s="124" t="str">
        <f t="shared" si="1"/>
        <v/>
      </c>
      <c r="J143" s="125"/>
    </row>
    <row r="144">
      <c r="A144" s="125"/>
      <c r="B144" s="125"/>
      <c r="C144" s="125"/>
      <c r="D144" s="125"/>
      <c r="E144" s="125"/>
      <c r="F144" s="125"/>
      <c r="G144" s="125"/>
      <c r="H144" s="125"/>
      <c r="I144" s="124" t="str">
        <f t="shared" si="1"/>
        <v/>
      </c>
      <c r="J144" s="125"/>
    </row>
    <row r="145">
      <c r="A145" s="125"/>
      <c r="B145" s="125"/>
      <c r="C145" s="125"/>
      <c r="D145" s="125"/>
      <c r="E145" s="125"/>
      <c r="F145" s="125"/>
      <c r="G145" s="125"/>
      <c r="H145" s="125"/>
      <c r="I145" s="124" t="str">
        <f t="shared" si="1"/>
        <v/>
      </c>
      <c r="J145" s="125"/>
    </row>
    <row r="146">
      <c r="A146" s="125"/>
      <c r="B146" s="125"/>
      <c r="C146" s="125"/>
      <c r="D146" s="125"/>
      <c r="E146" s="125"/>
      <c r="F146" s="125"/>
      <c r="G146" s="125"/>
      <c r="H146" s="125"/>
      <c r="I146" s="124" t="str">
        <f t="shared" si="1"/>
        <v/>
      </c>
      <c r="J146" s="125"/>
    </row>
    <row r="147">
      <c r="A147" s="125"/>
      <c r="B147" s="125"/>
      <c r="C147" s="125"/>
      <c r="D147" s="125"/>
      <c r="E147" s="125"/>
      <c r="F147" s="125"/>
      <c r="G147" s="125"/>
      <c r="H147" s="125"/>
      <c r="I147" s="124" t="str">
        <f t="shared" si="1"/>
        <v/>
      </c>
      <c r="J147" s="125"/>
    </row>
    <row r="148">
      <c r="A148" s="125"/>
      <c r="B148" s="125"/>
      <c r="C148" s="125"/>
      <c r="D148" s="125"/>
      <c r="E148" s="125"/>
      <c r="F148" s="125"/>
      <c r="G148" s="125"/>
      <c r="H148" s="125"/>
      <c r="I148" s="124" t="str">
        <f t="shared" si="1"/>
        <v/>
      </c>
      <c r="J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4" t="str">
        <f t="shared" si="1"/>
        <v/>
      </c>
      <c r="J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4" t="str">
        <f t="shared" si="1"/>
        <v/>
      </c>
      <c r="J150" s="125"/>
    </row>
    <row r="151">
      <c r="A151" s="125"/>
      <c r="B151" s="125"/>
      <c r="C151" s="125"/>
      <c r="D151" s="125"/>
      <c r="E151" s="125"/>
      <c r="F151" s="125"/>
      <c r="G151" s="125"/>
      <c r="H151" s="125"/>
      <c r="I151" s="124" t="str">
        <f t="shared" si="1"/>
        <v/>
      </c>
      <c r="J151" s="125"/>
    </row>
    <row r="152">
      <c r="A152" s="125"/>
      <c r="B152" s="125"/>
      <c r="C152" s="125"/>
      <c r="D152" s="125"/>
      <c r="E152" s="125"/>
      <c r="F152" s="125"/>
      <c r="G152" s="125"/>
      <c r="H152" s="125"/>
      <c r="I152" s="124" t="str">
        <f t="shared" si="1"/>
        <v/>
      </c>
      <c r="J152" s="125"/>
    </row>
    <row r="153">
      <c r="A153" s="125"/>
      <c r="B153" s="125"/>
      <c r="C153" s="125"/>
      <c r="D153" s="125"/>
      <c r="E153" s="125"/>
      <c r="F153" s="125"/>
      <c r="G153" s="125"/>
      <c r="H153" s="125"/>
      <c r="I153" s="124" t="str">
        <f t="shared" si="1"/>
        <v/>
      </c>
      <c r="J153" s="125"/>
    </row>
    <row r="154">
      <c r="A154" s="125"/>
      <c r="B154" s="125"/>
      <c r="C154" s="125"/>
      <c r="D154" s="125"/>
      <c r="E154" s="125"/>
      <c r="F154" s="125"/>
      <c r="G154" s="125"/>
      <c r="H154" s="125"/>
      <c r="I154" s="124" t="str">
        <f t="shared" si="1"/>
        <v/>
      </c>
      <c r="J154" s="125"/>
    </row>
    <row r="155">
      <c r="A155" s="125"/>
      <c r="B155" s="125"/>
      <c r="C155" s="125"/>
      <c r="D155" s="125"/>
      <c r="E155" s="125"/>
      <c r="F155" s="125"/>
      <c r="G155" s="125"/>
      <c r="H155" s="125"/>
      <c r="I155" s="124" t="str">
        <f t="shared" si="1"/>
        <v/>
      </c>
      <c r="J155" s="125"/>
    </row>
    <row r="156">
      <c r="A156" s="125"/>
      <c r="B156" s="125"/>
      <c r="C156" s="125"/>
      <c r="D156" s="125"/>
      <c r="E156" s="125"/>
      <c r="F156" s="125"/>
      <c r="G156" s="125"/>
      <c r="H156" s="125"/>
      <c r="I156" s="124" t="str">
        <f t="shared" si="1"/>
        <v/>
      </c>
      <c r="J156" s="125"/>
    </row>
    <row r="157">
      <c r="A157" s="125"/>
      <c r="B157" s="125"/>
      <c r="C157" s="125"/>
      <c r="D157" s="125"/>
      <c r="E157" s="125"/>
      <c r="F157" s="125"/>
      <c r="G157" s="125"/>
      <c r="H157" s="125"/>
      <c r="I157" s="124" t="str">
        <f t="shared" si="1"/>
        <v/>
      </c>
      <c r="J157" s="125"/>
    </row>
    <row r="158">
      <c r="A158" s="125"/>
      <c r="B158" s="125"/>
      <c r="C158" s="125"/>
      <c r="D158" s="125"/>
      <c r="E158" s="125"/>
      <c r="F158" s="125"/>
      <c r="G158" s="125"/>
      <c r="H158" s="125"/>
      <c r="I158" s="124" t="str">
        <f t="shared" si="1"/>
        <v/>
      </c>
      <c r="J158" s="125"/>
    </row>
    <row r="159">
      <c r="A159" s="125"/>
      <c r="B159" s="125"/>
      <c r="C159" s="125"/>
      <c r="D159" s="125"/>
      <c r="E159" s="125"/>
      <c r="F159" s="125"/>
      <c r="G159" s="125"/>
      <c r="H159" s="125"/>
      <c r="I159" s="124" t="str">
        <f t="shared" si="1"/>
        <v/>
      </c>
      <c r="J159" s="125"/>
    </row>
    <row r="160">
      <c r="A160" s="125"/>
      <c r="B160" s="125"/>
      <c r="C160" s="125"/>
      <c r="D160" s="125"/>
      <c r="E160" s="125"/>
      <c r="F160" s="125"/>
      <c r="G160" s="125"/>
      <c r="H160" s="125"/>
      <c r="I160" s="124" t="str">
        <f t="shared" si="1"/>
        <v/>
      </c>
      <c r="J160" s="125"/>
    </row>
    <row r="161">
      <c r="A161" s="125"/>
      <c r="B161" s="125"/>
      <c r="C161" s="125"/>
      <c r="D161" s="125"/>
      <c r="E161" s="125"/>
      <c r="F161" s="125"/>
      <c r="G161" s="125"/>
      <c r="H161" s="125"/>
      <c r="I161" s="124" t="str">
        <f t="shared" si="1"/>
        <v/>
      </c>
      <c r="J161" s="125"/>
    </row>
    <row r="162">
      <c r="A162" s="125"/>
      <c r="B162" s="125"/>
      <c r="C162" s="125"/>
      <c r="D162" s="125"/>
      <c r="E162" s="125"/>
      <c r="F162" s="125"/>
      <c r="G162" s="125"/>
      <c r="H162" s="125"/>
      <c r="I162" s="124" t="str">
        <f t="shared" si="1"/>
        <v/>
      </c>
      <c r="J162" s="125"/>
    </row>
    <row r="163">
      <c r="A163" s="125"/>
      <c r="B163" s="125"/>
      <c r="C163" s="125"/>
      <c r="D163" s="125"/>
      <c r="E163" s="125"/>
      <c r="F163" s="125"/>
      <c r="G163" s="125"/>
      <c r="H163" s="125"/>
      <c r="I163" s="124" t="str">
        <f t="shared" si="1"/>
        <v/>
      </c>
      <c r="J163" s="125"/>
    </row>
    <row r="164">
      <c r="A164" s="125"/>
      <c r="B164" s="125"/>
      <c r="C164" s="125"/>
      <c r="D164" s="125"/>
      <c r="E164" s="125"/>
      <c r="F164" s="125"/>
      <c r="G164" s="125"/>
      <c r="H164" s="125"/>
      <c r="I164" s="124" t="str">
        <f t="shared" si="1"/>
        <v/>
      </c>
      <c r="J164" s="125"/>
    </row>
    <row r="165">
      <c r="A165" s="125"/>
      <c r="B165" s="125"/>
      <c r="C165" s="125"/>
      <c r="D165" s="125"/>
      <c r="E165" s="125"/>
      <c r="F165" s="125"/>
      <c r="G165" s="125"/>
      <c r="H165" s="125"/>
      <c r="I165" s="124" t="str">
        <f t="shared" si="1"/>
        <v/>
      </c>
      <c r="J165" s="125"/>
    </row>
    <row r="166">
      <c r="A166" s="125"/>
      <c r="B166" s="125"/>
      <c r="C166" s="125"/>
      <c r="D166" s="125"/>
      <c r="E166" s="125"/>
      <c r="F166" s="125"/>
      <c r="G166" s="125"/>
      <c r="H166" s="125"/>
      <c r="I166" s="124" t="str">
        <f t="shared" si="1"/>
        <v/>
      </c>
      <c r="J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4" t="str">
        <f t="shared" si="1"/>
        <v/>
      </c>
      <c r="J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4" t="str">
        <f t="shared" si="1"/>
        <v/>
      </c>
      <c r="J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4" t="str">
        <f t="shared" si="1"/>
        <v/>
      </c>
      <c r="J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4" t="str">
        <f t="shared" si="1"/>
        <v/>
      </c>
      <c r="J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4" t="str">
        <f t="shared" si="1"/>
        <v/>
      </c>
      <c r="J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4" t="str">
        <f t="shared" si="1"/>
        <v/>
      </c>
      <c r="J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4" t="str">
        <f t="shared" si="1"/>
        <v/>
      </c>
      <c r="J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4" t="str">
        <f t="shared" si="1"/>
        <v/>
      </c>
      <c r="J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4" t="str">
        <f t="shared" si="1"/>
        <v/>
      </c>
      <c r="J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4" t="str">
        <f t="shared" si="1"/>
        <v/>
      </c>
      <c r="J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4" t="str">
        <f t="shared" si="1"/>
        <v/>
      </c>
      <c r="J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4" t="str">
        <f t="shared" si="1"/>
        <v/>
      </c>
      <c r="J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4" t="str">
        <f t="shared" si="1"/>
        <v/>
      </c>
      <c r="J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4" t="str">
        <f t="shared" si="1"/>
        <v/>
      </c>
      <c r="J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4" t="str">
        <f t="shared" si="1"/>
        <v/>
      </c>
      <c r="J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4" t="str">
        <f t="shared" si="1"/>
        <v/>
      </c>
      <c r="J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4" t="str">
        <f t="shared" si="1"/>
        <v/>
      </c>
      <c r="J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4" t="str">
        <f t="shared" si="1"/>
        <v/>
      </c>
      <c r="J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4" t="str">
        <f t="shared" si="1"/>
        <v/>
      </c>
      <c r="J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4" t="str">
        <f t="shared" si="1"/>
        <v/>
      </c>
      <c r="J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4" t="str">
        <f t="shared" si="1"/>
        <v/>
      </c>
      <c r="J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4" t="str">
        <f t="shared" si="1"/>
        <v/>
      </c>
      <c r="J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4" t="str">
        <f t="shared" si="1"/>
        <v/>
      </c>
      <c r="J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4" t="str">
        <f t="shared" si="1"/>
        <v/>
      </c>
      <c r="J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4" t="str">
        <f t="shared" si="1"/>
        <v/>
      </c>
      <c r="J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4" t="str">
        <f t="shared" si="1"/>
        <v/>
      </c>
      <c r="J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4" t="str">
        <f t="shared" si="1"/>
        <v/>
      </c>
      <c r="J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4" t="str">
        <f t="shared" si="1"/>
        <v/>
      </c>
      <c r="J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4" t="str">
        <f t="shared" si="1"/>
        <v/>
      </c>
      <c r="J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4" t="str">
        <f t="shared" si="1"/>
        <v/>
      </c>
      <c r="J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4" t="str">
        <f t="shared" si="1"/>
        <v/>
      </c>
      <c r="J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4" t="str">
        <f t="shared" si="1"/>
        <v/>
      </c>
      <c r="J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4" t="str">
        <f t="shared" si="1"/>
        <v/>
      </c>
      <c r="J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4" t="str">
        <f t="shared" si="1"/>
        <v/>
      </c>
      <c r="J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4" t="str">
        <f t="shared" si="1"/>
        <v/>
      </c>
      <c r="J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4" t="str">
        <f t="shared" si="1"/>
        <v/>
      </c>
      <c r="J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4" t="str">
        <f t="shared" si="1"/>
        <v/>
      </c>
      <c r="J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4" t="str">
        <f t="shared" si="1"/>
        <v/>
      </c>
      <c r="J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4" t="str">
        <f t="shared" si="1"/>
        <v/>
      </c>
      <c r="J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4" t="str">
        <f t="shared" si="1"/>
        <v/>
      </c>
      <c r="J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4" t="str">
        <f t="shared" si="1"/>
        <v/>
      </c>
      <c r="J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4" t="str">
        <f t="shared" si="1"/>
        <v/>
      </c>
      <c r="J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4" t="str">
        <f t="shared" si="1"/>
        <v/>
      </c>
      <c r="J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4" t="str">
        <f t="shared" si="1"/>
        <v/>
      </c>
      <c r="J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4" t="str">
        <f t="shared" si="1"/>
        <v/>
      </c>
      <c r="J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4" t="str">
        <f t="shared" si="1"/>
        <v/>
      </c>
      <c r="J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4" t="str">
        <f t="shared" si="1"/>
        <v/>
      </c>
      <c r="J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4" t="str">
        <f t="shared" si="1"/>
        <v/>
      </c>
      <c r="J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4" t="str">
        <f t="shared" si="1"/>
        <v/>
      </c>
      <c r="J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4" t="str">
        <f t="shared" si="1"/>
        <v/>
      </c>
      <c r="J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4" t="str">
        <f t="shared" si="1"/>
        <v/>
      </c>
      <c r="J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4" t="str">
        <f t="shared" si="1"/>
        <v/>
      </c>
      <c r="J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4" t="str">
        <f t="shared" si="1"/>
        <v/>
      </c>
      <c r="J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4" t="str">
        <f t="shared" si="1"/>
        <v/>
      </c>
      <c r="J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4" t="str">
        <f t="shared" si="1"/>
        <v/>
      </c>
      <c r="J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4" t="str">
        <f t="shared" si="1"/>
        <v/>
      </c>
      <c r="J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4" t="str">
        <f t="shared" si="1"/>
        <v/>
      </c>
      <c r="J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4" t="str">
        <f t="shared" si="1"/>
        <v/>
      </c>
      <c r="J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4" t="str">
        <f t="shared" si="1"/>
        <v/>
      </c>
      <c r="J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4" t="str">
        <f t="shared" si="1"/>
        <v/>
      </c>
      <c r="J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4" t="str">
        <f t="shared" si="1"/>
        <v/>
      </c>
      <c r="J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4" t="str">
        <f t="shared" si="1"/>
        <v/>
      </c>
      <c r="J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4" t="str">
        <f t="shared" si="1"/>
        <v/>
      </c>
      <c r="J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4" t="str">
        <f t="shared" si="1"/>
        <v/>
      </c>
      <c r="J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4" t="str">
        <f t="shared" si="1"/>
        <v/>
      </c>
      <c r="J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4" t="str">
        <f t="shared" si="1"/>
        <v/>
      </c>
      <c r="J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4" t="str">
        <f t="shared" si="1"/>
        <v/>
      </c>
      <c r="J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4" t="str">
        <f t="shared" si="1"/>
        <v/>
      </c>
      <c r="J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4" t="str">
        <f t="shared" si="1"/>
        <v/>
      </c>
      <c r="J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4" t="str">
        <f t="shared" si="1"/>
        <v/>
      </c>
      <c r="J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4" t="str">
        <f t="shared" si="1"/>
        <v/>
      </c>
      <c r="J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4" t="str">
        <f t="shared" si="1"/>
        <v/>
      </c>
      <c r="J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4" t="str">
        <f t="shared" si="1"/>
        <v/>
      </c>
      <c r="J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4" t="str">
        <f t="shared" si="1"/>
        <v/>
      </c>
      <c r="J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4" t="str">
        <f t="shared" si="1"/>
        <v/>
      </c>
      <c r="J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4" t="str">
        <f t="shared" si="1"/>
        <v/>
      </c>
      <c r="J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4" t="str">
        <f t="shared" si="1"/>
        <v/>
      </c>
      <c r="J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4" t="str">
        <f t="shared" si="1"/>
        <v/>
      </c>
      <c r="J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4" t="str">
        <f t="shared" si="1"/>
        <v/>
      </c>
      <c r="J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4" t="str">
        <f t="shared" si="1"/>
        <v/>
      </c>
      <c r="J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4" t="str">
        <f t="shared" si="1"/>
        <v/>
      </c>
      <c r="J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4" t="str">
        <f t="shared" si="1"/>
        <v/>
      </c>
      <c r="J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4" t="str">
        <f t="shared" si="1"/>
        <v/>
      </c>
      <c r="J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4" t="str">
        <f t="shared" si="1"/>
        <v/>
      </c>
      <c r="J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4" t="str">
        <f t="shared" si="1"/>
        <v/>
      </c>
      <c r="J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4" t="str">
        <f t="shared" si="1"/>
        <v/>
      </c>
      <c r="J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4" t="str">
        <f t="shared" si="1"/>
        <v/>
      </c>
      <c r="J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4" t="str">
        <f t="shared" si="1"/>
        <v/>
      </c>
      <c r="J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4" t="str">
        <f t="shared" si="1"/>
        <v/>
      </c>
      <c r="J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4" t="str">
        <f t="shared" si="1"/>
        <v/>
      </c>
      <c r="J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4" t="str">
        <f t="shared" si="1"/>
        <v/>
      </c>
      <c r="J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4" t="str">
        <f t="shared" si="1"/>
        <v/>
      </c>
      <c r="J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4" t="str">
        <f t="shared" si="1"/>
        <v/>
      </c>
      <c r="J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4" t="str">
        <f t="shared" si="1"/>
        <v/>
      </c>
      <c r="J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4" t="str">
        <f t="shared" si="1"/>
        <v/>
      </c>
      <c r="J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4" t="str">
        <f t="shared" si="1"/>
        <v/>
      </c>
      <c r="J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4" t="str">
        <f t="shared" si="1"/>
        <v/>
      </c>
      <c r="J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4" t="str">
        <f t="shared" si="1"/>
        <v/>
      </c>
      <c r="J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4" t="str">
        <f t="shared" si="1"/>
        <v/>
      </c>
      <c r="J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4" t="str">
        <f t="shared" si="1"/>
        <v/>
      </c>
      <c r="J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4" t="str">
        <f t="shared" si="1"/>
        <v/>
      </c>
      <c r="J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4" t="str">
        <f t="shared" si="1"/>
        <v/>
      </c>
      <c r="J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4" t="str">
        <f t="shared" si="1"/>
        <v/>
      </c>
      <c r="J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4" t="str">
        <f t="shared" si="1"/>
        <v/>
      </c>
      <c r="J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4" t="str">
        <f t="shared" si="1"/>
        <v/>
      </c>
      <c r="J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4" t="str">
        <f t="shared" si="1"/>
        <v/>
      </c>
      <c r="J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4" t="str">
        <f t="shared" si="1"/>
        <v/>
      </c>
      <c r="J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4" t="str">
        <f t="shared" si="1"/>
        <v/>
      </c>
      <c r="J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4" t="str">
        <f t="shared" si="1"/>
        <v/>
      </c>
      <c r="J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4" t="str">
        <f t="shared" si="1"/>
        <v/>
      </c>
      <c r="J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4" t="str">
        <f t="shared" si="1"/>
        <v/>
      </c>
      <c r="J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4" t="str">
        <f t="shared" si="1"/>
        <v/>
      </c>
      <c r="J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4" t="str">
        <f t="shared" si="1"/>
        <v/>
      </c>
      <c r="J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4" t="str">
        <f t="shared" si="1"/>
        <v/>
      </c>
      <c r="J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4" t="str">
        <f t="shared" si="1"/>
        <v/>
      </c>
      <c r="J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4" t="str">
        <f t="shared" si="1"/>
        <v/>
      </c>
      <c r="J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4" t="str">
        <f t="shared" si="1"/>
        <v/>
      </c>
      <c r="J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4" t="str">
        <f t="shared" si="1"/>
        <v/>
      </c>
      <c r="J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4" t="str">
        <f t="shared" si="1"/>
        <v/>
      </c>
      <c r="J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4" t="str">
        <f t="shared" si="1"/>
        <v/>
      </c>
      <c r="J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4" t="str">
        <f t="shared" si="1"/>
        <v/>
      </c>
      <c r="J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4" t="str">
        <f t="shared" si="1"/>
        <v/>
      </c>
      <c r="J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4" t="str">
        <f t="shared" si="1"/>
        <v/>
      </c>
      <c r="J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4" t="str">
        <f t="shared" si="1"/>
        <v/>
      </c>
      <c r="J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4" t="str">
        <f t="shared" si="1"/>
        <v/>
      </c>
      <c r="J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4" t="str">
        <f t="shared" si="1"/>
        <v/>
      </c>
      <c r="J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4" t="str">
        <f t="shared" si="1"/>
        <v/>
      </c>
      <c r="J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4" t="str">
        <f t="shared" si="1"/>
        <v/>
      </c>
      <c r="J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4" t="str">
        <f t="shared" si="1"/>
        <v/>
      </c>
      <c r="J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4" t="str">
        <f t="shared" si="1"/>
        <v/>
      </c>
      <c r="J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4" t="str">
        <f t="shared" si="1"/>
        <v/>
      </c>
      <c r="J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4" t="str">
        <f t="shared" si="1"/>
        <v/>
      </c>
      <c r="J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4" t="str">
        <f t="shared" si="1"/>
        <v/>
      </c>
      <c r="J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4" t="str">
        <f t="shared" si="1"/>
        <v/>
      </c>
      <c r="J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4" t="str">
        <f t="shared" si="1"/>
        <v/>
      </c>
      <c r="J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4" t="str">
        <f t="shared" si="1"/>
        <v/>
      </c>
      <c r="J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4" t="str">
        <f t="shared" si="1"/>
        <v/>
      </c>
      <c r="J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4" t="str">
        <f t="shared" si="1"/>
        <v/>
      </c>
      <c r="J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4" t="str">
        <f t="shared" si="1"/>
        <v/>
      </c>
      <c r="J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4" t="str">
        <f t="shared" si="1"/>
        <v/>
      </c>
      <c r="J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4" t="str">
        <f t="shared" si="1"/>
        <v/>
      </c>
      <c r="J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4" t="str">
        <f t="shared" si="1"/>
        <v/>
      </c>
      <c r="J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4" t="str">
        <f t="shared" si="1"/>
        <v/>
      </c>
      <c r="J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4" t="str">
        <f t="shared" si="1"/>
        <v/>
      </c>
      <c r="J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4" t="str">
        <f t="shared" si="1"/>
        <v/>
      </c>
      <c r="J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4" t="str">
        <f t="shared" si="1"/>
        <v/>
      </c>
      <c r="J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4" t="str">
        <f t="shared" si="1"/>
        <v/>
      </c>
      <c r="J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4" t="str">
        <f t="shared" si="1"/>
        <v/>
      </c>
      <c r="J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4" t="str">
        <f t="shared" si="1"/>
        <v/>
      </c>
      <c r="J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4" t="str">
        <f t="shared" si="1"/>
        <v/>
      </c>
      <c r="J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4" t="str">
        <f t="shared" si="1"/>
        <v/>
      </c>
      <c r="J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4" t="str">
        <f t="shared" si="1"/>
        <v/>
      </c>
      <c r="J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4" t="str">
        <f t="shared" si="1"/>
        <v/>
      </c>
      <c r="J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4" t="str">
        <f t="shared" si="1"/>
        <v/>
      </c>
      <c r="J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4" t="str">
        <f t="shared" si="1"/>
        <v/>
      </c>
      <c r="J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4" t="str">
        <f t="shared" si="1"/>
        <v/>
      </c>
      <c r="J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4" t="str">
        <f t="shared" si="1"/>
        <v/>
      </c>
      <c r="J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4" t="str">
        <f t="shared" si="1"/>
        <v/>
      </c>
      <c r="J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4" t="str">
        <f t="shared" si="1"/>
        <v/>
      </c>
      <c r="J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4" t="str">
        <f t="shared" si="1"/>
        <v/>
      </c>
      <c r="J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4" t="str">
        <f t="shared" si="1"/>
        <v/>
      </c>
      <c r="J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4" t="str">
        <f t="shared" si="1"/>
        <v/>
      </c>
      <c r="J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4" t="str">
        <f t="shared" si="1"/>
        <v/>
      </c>
      <c r="J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4" t="str">
        <f t="shared" si="1"/>
        <v/>
      </c>
      <c r="J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4" t="str">
        <f t="shared" si="1"/>
        <v/>
      </c>
      <c r="J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4" t="str">
        <f t="shared" si="1"/>
        <v/>
      </c>
      <c r="J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4" t="str">
        <f t="shared" si="1"/>
        <v/>
      </c>
      <c r="J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4" t="str">
        <f t="shared" si="1"/>
        <v/>
      </c>
      <c r="J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4" t="str">
        <f t="shared" si="1"/>
        <v/>
      </c>
      <c r="J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4" t="str">
        <f t="shared" si="1"/>
        <v/>
      </c>
      <c r="J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4" t="str">
        <f t="shared" si="1"/>
        <v/>
      </c>
      <c r="J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4" t="str">
        <f t="shared" si="1"/>
        <v/>
      </c>
      <c r="J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4" t="str">
        <f t="shared" si="1"/>
        <v/>
      </c>
      <c r="J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4" t="str">
        <f t="shared" si="1"/>
        <v/>
      </c>
      <c r="J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4" t="str">
        <f t="shared" si="1"/>
        <v/>
      </c>
      <c r="J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4" t="str">
        <f t="shared" si="1"/>
        <v/>
      </c>
      <c r="J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4" t="str">
        <f t="shared" si="1"/>
        <v/>
      </c>
      <c r="J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4" t="str">
        <f t="shared" si="1"/>
        <v/>
      </c>
      <c r="J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4" t="str">
        <f t="shared" si="1"/>
        <v/>
      </c>
      <c r="J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4" t="str">
        <f t="shared" si="1"/>
        <v/>
      </c>
      <c r="J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4" t="str">
        <f t="shared" si="1"/>
        <v/>
      </c>
      <c r="J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4" t="str">
        <f t="shared" si="1"/>
        <v/>
      </c>
      <c r="J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4" t="str">
        <f t="shared" si="1"/>
        <v/>
      </c>
      <c r="J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4" t="str">
        <f t="shared" si="1"/>
        <v/>
      </c>
      <c r="J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4" t="str">
        <f t="shared" si="1"/>
        <v/>
      </c>
      <c r="J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4" t="str">
        <f t="shared" si="1"/>
        <v/>
      </c>
      <c r="J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4" t="str">
        <f t="shared" si="1"/>
        <v/>
      </c>
      <c r="J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4" t="str">
        <f t="shared" si="1"/>
        <v/>
      </c>
      <c r="J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4" t="str">
        <f t="shared" si="1"/>
        <v/>
      </c>
      <c r="J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4" t="str">
        <f t="shared" si="1"/>
        <v/>
      </c>
      <c r="J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4" t="str">
        <f t="shared" si="1"/>
        <v/>
      </c>
      <c r="J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4" t="str">
        <f t="shared" si="1"/>
        <v/>
      </c>
      <c r="J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4" t="str">
        <f t="shared" si="1"/>
        <v/>
      </c>
      <c r="J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4" t="str">
        <f t="shared" si="1"/>
        <v/>
      </c>
      <c r="J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4" t="str">
        <f t="shared" si="1"/>
        <v/>
      </c>
      <c r="J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4" t="str">
        <f t="shared" si="1"/>
        <v/>
      </c>
      <c r="J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4" t="str">
        <f t="shared" si="1"/>
        <v/>
      </c>
      <c r="J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4" t="str">
        <f t="shared" si="1"/>
        <v/>
      </c>
      <c r="J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4" t="str">
        <f t="shared" si="1"/>
        <v/>
      </c>
      <c r="J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4" t="str">
        <f t="shared" si="1"/>
        <v/>
      </c>
      <c r="J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4" t="str">
        <f t="shared" si="1"/>
        <v/>
      </c>
      <c r="J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4" t="str">
        <f t="shared" si="1"/>
        <v/>
      </c>
      <c r="J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4" t="str">
        <f t="shared" si="1"/>
        <v/>
      </c>
      <c r="J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4" t="str">
        <f t="shared" si="1"/>
        <v/>
      </c>
      <c r="J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4" t="str">
        <f t="shared" si="1"/>
        <v/>
      </c>
      <c r="J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4" t="str">
        <f t="shared" si="1"/>
        <v/>
      </c>
      <c r="J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4" t="str">
        <f t="shared" si="1"/>
        <v/>
      </c>
      <c r="J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4" t="str">
        <f t="shared" si="1"/>
        <v/>
      </c>
      <c r="J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4" t="str">
        <f t="shared" si="1"/>
        <v/>
      </c>
      <c r="J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4" t="str">
        <f t="shared" si="1"/>
        <v/>
      </c>
      <c r="J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4" t="str">
        <f t="shared" si="1"/>
        <v/>
      </c>
      <c r="J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4" t="str">
        <f t="shared" si="1"/>
        <v/>
      </c>
      <c r="J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4" t="str">
        <f t="shared" si="1"/>
        <v/>
      </c>
      <c r="J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4" t="str">
        <f t="shared" si="1"/>
        <v/>
      </c>
      <c r="J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4" t="str">
        <f t="shared" si="1"/>
        <v/>
      </c>
      <c r="J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4" t="str">
        <f t="shared" si="1"/>
        <v/>
      </c>
      <c r="J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4" t="str">
        <f t="shared" si="1"/>
        <v/>
      </c>
      <c r="J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4" t="str">
        <f t="shared" si="1"/>
        <v/>
      </c>
      <c r="J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4" t="str">
        <f t="shared" si="1"/>
        <v/>
      </c>
      <c r="J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4" t="str">
        <f t="shared" si="1"/>
        <v/>
      </c>
      <c r="J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4" t="str">
        <f t="shared" si="1"/>
        <v/>
      </c>
      <c r="J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4" t="str">
        <f t="shared" si="1"/>
        <v/>
      </c>
      <c r="J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4" t="str">
        <f t="shared" si="1"/>
        <v/>
      </c>
      <c r="J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4" t="str">
        <f t="shared" si="1"/>
        <v/>
      </c>
      <c r="J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4" t="str">
        <f t="shared" si="1"/>
        <v/>
      </c>
      <c r="J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4" t="str">
        <f t="shared" si="1"/>
        <v/>
      </c>
      <c r="J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4" t="str">
        <f t="shared" si="1"/>
        <v/>
      </c>
      <c r="J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4" t="str">
        <f t="shared" si="1"/>
        <v/>
      </c>
      <c r="J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4" t="str">
        <f t="shared" si="1"/>
        <v/>
      </c>
      <c r="J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4" t="str">
        <f t="shared" si="1"/>
        <v/>
      </c>
      <c r="J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4" t="str">
        <f t="shared" si="1"/>
        <v/>
      </c>
      <c r="J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4" t="str">
        <f t="shared" si="1"/>
        <v/>
      </c>
      <c r="J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4" t="str">
        <f t="shared" si="1"/>
        <v/>
      </c>
      <c r="J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4" t="str">
        <f t="shared" si="1"/>
        <v/>
      </c>
      <c r="J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4" t="str">
        <f t="shared" si="1"/>
        <v/>
      </c>
      <c r="J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4" t="str">
        <f t="shared" si="1"/>
        <v/>
      </c>
      <c r="J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4" t="str">
        <f t="shared" si="1"/>
        <v/>
      </c>
      <c r="J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4" t="str">
        <f t="shared" si="1"/>
        <v/>
      </c>
      <c r="J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4" t="str">
        <f t="shared" si="1"/>
        <v/>
      </c>
      <c r="J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4" t="str">
        <f t="shared" si="1"/>
        <v/>
      </c>
      <c r="J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4" t="str">
        <f t="shared" si="1"/>
        <v/>
      </c>
      <c r="J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4" t="str">
        <f t="shared" si="1"/>
        <v/>
      </c>
      <c r="J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4" t="str">
        <f t="shared" si="1"/>
        <v/>
      </c>
      <c r="J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4" t="str">
        <f t="shared" si="1"/>
        <v/>
      </c>
      <c r="J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4" t="str">
        <f t="shared" si="1"/>
        <v/>
      </c>
      <c r="J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4" t="str">
        <f t="shared" si="1"/>
        <v/>
      </c>
      <c r="J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4" t="str">
        <f t="shared" si="1"/>
        <v/>
      </c>
      <c r="J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4" t="str">
        <f t="shared" si="1"/>
        <v/>
      </c>
      <c r="J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4" t="str">
        <f t="shared" si="1"/>
        <v/>
      </c>
      <c r="J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4" t="str">
        <f t="shared" si="1"/>
        <v/>
      </c>
      <c r="J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4" t="str">
        <f t="shared" si="1"/>
        <v/>
      </c>
      <c r="J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4" t="str">
        <f t="shared" si="1"/>
        <v/>
      </c>
      <c r="J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4" t="str">
        <f t="shared" si="1"/>
        <v/>
      </c>
      <c r="J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4" t="str">
        <f t="shared" si="1"/>
        <v/>
      </c>
      <c r="J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4" t="str">
        <f t="shared" si="1"/>
        <v/>
      </c>
      <c r="J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4" t="str">
        <f t="shared" si="1"/>
        <v/>
      </c>
      <c r="J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4" t="str">
        <f t="shared" si="1"/>
        <v/>
      </c>
      <c r="J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4" t="str">
        <f t="shared" si="1"/>
        <v/>
      </c>
      <c r="J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4" t="str">
        <f t="shared" si="1"/>
        <v/>
      </c>
      <c r="J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4" t="str">
        <f t="shared" si="1"/>
        <v/>
      </c>
      <c r="J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4" t="str">
        <f t="shared" si="1"/>
        <v/>
      </c>
      <c r="J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4" t="str">
        <f t="shared" si="1"/>
        <v/>
      </c>
      <c r="J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4" t="str">
        <f t="shared" si="1"/>
        <v/>
      </c>
      <c r="J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4" t="str">
        <f t="shared" si="1"/>
        <v/>
      </c>
      <c r="J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4" t="str">
        <f t="shared" si="1"/>
        <v/>
      </c>
      <c r="J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4" t="str">
        <f t="shared" si="1"/>
        <v/>
      </c>
      <c r="J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4" t="str">
        <f t="shared" si="1"/>
        <v/>
      </c>
      <c r="J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4" t="str">
        <f t="shared" si="1"/>
        <v/>
      </c>
      <c r="J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4" t="str">
        <f t="shared" si="1"/>
        <v/>
      </c>
      <c r="J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4" t="str">
        <f t="shared" si="1"/>
        <v/>
      </c>
      <c r="J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4" t="str">
        <f t="shared" si="1"/>
        <v/>
      </c>
      <c r="J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4" t="str">
        <f t="shared" si="1"/>
        <v/>
      </c>
      <c r="J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4" t="str">
        <f t="shared" si="1"/>
        <v/>
      </c>
      <c r="J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4" t="str">
        <f t="shared" si="1"/>
        <v/>
      </c>
      <c r="J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4" t="str">
        <f t="shared" si="1"/>
        <v/>
      </c>
      <c r="J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4" t="str">
        <f t="shared" si="1"/>
        <v/>
      </c>
      <c r="J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4" t="str">
        <f t="shared" si="1"/>
        <v/>
      </c>
      <c r="J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4" t="str">
        <f t="shared" si="1"/>
        <v/>
      </c>
      <c r="J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4" t="str">
        <f t="shared" si="1"/>
        <v/>
      </c>
      <c r="J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4" t="str">
        <f t="shared" si="1"/>
        <v/>
      </c>
      <c r="J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4" t="str">
        <f t="shared" si="1"/>
        <v/>
      </c>
      <c r="J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4" t="str">
        <f t="shared" si="1"/>
        <v/>
      </c>
      <c r="J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4" t="str">
        <f t="shared" si="1"/>
        <v/>
      </c>
      <c r="J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4" t="str">
        <f t="shared" si="1"/>
        <v/>
      </c>
      <c r="J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4" t="str">
        <f t="shared" si="1"/>
        <v/>
      </c>
      <c r="J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4" t="str">
        <f t="shared" si="1"/>
        <v/>
      </c>
      <c r="J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4" t="str">
        <f t="shared" si="1"/>
        <v/>
      </c>
      <c r="J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4" t="str">
        <f t="shared" si="1"/>
        <v/>
      </c>
      <c r="J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4" t="str">
        <f t="shared" si="1"/>
        <v/>
      </c>
      <c r="J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4" t="str">
        <f t="shared" si="1"/>
        <v/>
      </c>
      <c r="J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4" t="str">
        <f t="shared" si="1"/>
        <v/>
      </c>
      <c r="J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4" t="str">
        <f t="shared" si="1"/>
        <v/>
      </c>
      <c r="J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4" t="str">
        <f t="shared" si="1"/>
        <v/>
      </c>
      <c r="J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4" t="str">
        <f t="shared" si="1"/>
        <v/>
      </c>
      <c r="J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4" t="str">
        <f t="shared" si="1"/>
        <v/>
      </c>
      <c r="J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4" t="str">
        <f t="shared" si="1"/>
        <v/>
      </c>
      <c r="J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4" t="str">
        <f t="shared" si="1"/>
        <v/>
      </c>
      <c r="J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4" t="str">
        <f t="shared" si="1"/>
        <v/>
      </c>
      <c r="J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4" t="str">
        <f t="shared" si="1"/>
        <v/>
      </c>
      <c r="J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4" t="str">
        <f t="shared" si="1"/>
        <v/>
      </c>
      <c r="J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4" t="str">
        <f t="shared" si="1"/>
        <v/>
      </c>
      <c r="J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4" t="str">
        <f t="shared" si="1"/>
        <v/>
      </c>
      <c r="J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4" t="str">
        <f t="shared" si="1"/>
        <v/>
      </c>
      <c r="J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4" t="str">
        <f t="shared" si="1"/>
        <v/>
      </c>
      <c r="J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4" t="str">
        <f t="shared" si="1"/>
        <v/>
      </c>
      <c r="J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4" t="str">
        <f t="shared" si="1"/>
        <v/>
      </c>
      <c r="J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4" t="str">
        <f t="shared" si="1"/>
        <v/>
      </c>
      <c r="J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4" t="str">
        <f t="shared" si="1"/>
        <v/>
      </c>
      <c r="J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4" t="str">
        <f t="shared" si="1"/>
        <v/>
      </c>
      <c r="J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4" t="str">
        <f t="shared" si="1"/>
        <v/>
      </c>
      <c r="J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4" t="str">
        <f t="shared" si="1"/>
        <v/>
      </c>
      <c r="J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4" t="str">
        <f t="shared" si="1"/>
        <v/>
      </c>
      <c r="J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4" t="str">
        <f t="shared" si="1"/>
        <v/>
      </c>
      <c r="J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4" t="str">
        <f t="shared" si="1"/>
        <v/>
      </c>
      <c r="J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4" t="str">
        <f t="shared" si="1"/>
        <v/>
      </c>
      <c r="J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4" t="str">
        <f t="shared" si="1"/>
        <v/>
      </c>
      <c r="J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4" t="str">
        <f t="shared" si="1"/>
        <v/>
      </c>
      <c r="J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4" t="str">
        <f t="shared" si="1"/>
        <v/>
      </c>
      <c r="J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4" t="str">
        <f t="shared" si="1"/>
        <v/>
      </c>
      <c r="J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4" t="str">
        <f t="shared" si="1"/>
        <v/>
      </c>
      <c r="J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4" t="str">
        <f t="shared" si="1"/>
        <v/>
      </c>
      <c r="J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4" t="str">
        <f t="shared" si="1"/>
        <v/>
      </c>
      <c r="J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4" t="str">
        <f t="shared" si="1"/>
        <v/>
      </c>
      <c r="J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4" t="str">
        <f t="shared" si="1"/>
        <v/>
      </c>
      <c r="J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4" t="str">
        <f t="shared" si="1"/>
        <v/>
      </c>
      <c r="J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4" t="str">
        <f t="shared" si="1"/>
        <v/>
      </c>
      <c r="J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4" t="str">
        <f t="shared" si="1"/>
        <v/>
      </c>
      <c r="J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4" t="str">
        <f t="shared" si="1"/>
        <v/>
      </c>
      <c r="J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4" t="str">
        <f t="shared" si="1"/>
        <v/>
      </c>
      <c r="J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4" t="str">
        <f t="shared" si="1"/>
        <v/>
      </c>
      <c r="J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4" t="str">
        <f t="shared" si="1"/>
        <v/>
      </c>
      <c r="J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4" t="str">
        <f t="shared" si="1"/>
        <v/>
      </c>
      <c r="J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4" t="str">
        <f t="shared" si="1"/>
        <v/>
      </c>
      <c r="J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4" t="str">
        <f t="shared" si="1"/>
        <v/>
      </c>
      <c r="J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4" t="str">
        <f t="shared" si="1"/>
        <v/>
      </c>
      <c r="J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4" t="str">
        <f t="shared" si="1"/>
        <v/>
      </c>
      <c r="J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4" t="str">
        <f t="shared" si="1"/>
        <v/>
      </c>
      <c r="J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4" t="str">
        <f t="shared" si="1"/>
        <v/>
      </c>
      <c r="J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4" t="str">
        <f t="shared" si="1"/>
        <v/>
      </c>
      <c r="J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4" t="str">
        <f t="shared" si="1"/>
        <v/>
      </c>
      <c r="J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4" t="str">
        <f t="shared" si="1"/>
        <v/>
      </c>
      <c r="J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4" t="str">
        <f t="shared" si="1"/>
        <v/>
      </c>
      <c r="J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4" t="str">
        <f t="shared" si="1"/>
        <v/>
      </c>
      <c r="J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4" t="str">
        <f t="shared" si="1"/>
        <v/>
      </c>
      <c r="J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4" t="str">
        <f t="shared" si="1"/>
        <v/>
      </c>
      <c r="J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4" t="str">
        <f t="shared" si="1"/>
        <v/>
      </c>
      <c r="J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4" t="str">
        <f t="shared" si="1"/>
        <v/>
      </c>
      <c r="J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4" t="str">
        <f t="shared" si="1"/>
        <v/>
      </c>
      <c r="J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4" t="str">
        <f t="shared" si="1"/>
        <v/>
      </c>
      <c r="J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4" t="str">
        <f t="shared" si="1"/>
        <v/>
      </c>
      <c r="J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4" t="str">
        <f t="shared" si="1"/>
        <v/>
      </c>
      <c r="J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4" t="str">
        <f t="shared" si="1"/>
        <v/>
      </c>
      <c r="J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4" t="str">
        <f t="shared" si="1"/>
        <v/>
      </c>
      <c r="J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4" t="str">
        <f t="shared" si="1"/>
        <v/>
      </c>
      <c r="J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4" t="str">
        <f t="shared" si="1"/>
        <v/>
      </c>
      <c r="J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4" t="str">
        <f t="shared" si="1"/>
        <v/>
      </c>
      <c r="J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4" t="str">
        <f t="shared" si="1"/>
        <v/>
      </c>
      <c r="J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4" t="str">
        <f t="shared" si="1"/>
        <v/>
      </c>
      <c r="J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4" t="str">
        <f t="shared" si="1"/>
        <v/>
      </c>
      <c r="J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4" t="str">
        <f t="shared" si="1"/>
        <v/>
      </c>
      <c r="J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4" t="str">
        <f t="shared" si="1"/>
        <v/>
      </c>
      <c r="J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4" t="str">
        <f t="shared" si="1"/>
        <v/>
      </c>
      <c r="J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4" t="str">
        <f t="shared" si="1"/>
        <v/>
      </c>
      <c r="J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4" t="str">
        <f t="shared" si="1"/>
        <v/>
      </c>
      <c r="J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4" t="str">
        <f t="shared" si="1"/>
        <v/>
      </c>
      <c r="J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4" t="str">
        <f t="shared" si="1"/>
        <v/>
      </c>
      <c r="J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4" t="str">
        <f t="shared" si="1"/>
        <v/>
      </c>
      <c r="J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4" t="str">
        <f t="shared" si="1"/>
        <v/>
      </c>
      <c r="J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4" t="str">
        <f t="shared" si="1"/>
        <v/>
      </c>
      <c r="J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4" t="str">
        <f t="shared" si="1"/>
        <v/>
      </c>
      <c r="J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4" t="str">
        <f t="shared" si="1"/>
        <v/>
      </c>
      <c r="J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4" t="str">
        <f t="shared" si="1"/>
        <v/>
      </c>
      <c r="J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4" t="str">
        <f t="shared" si="1"/>
        <v/>
      </c>
      <c r="J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4" t="str">
        <f t="shared" si="1"/>
        <v/>
      </c>
      <c r="J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4" t="str">
        <f t="shared" si="1"/>
        <v/>
      </c>
      <c r="J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4" t="str">
        <f t="shared" si="1"/>
        <v/>
      </c>
      <c r="J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4" t="str">
        <f t="shared" si="1"/>
        <v/>
      </c>
      <c r="J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4" t="str">
        <f t="shared" si="1"/>
        <v/>
      </c>
      <c r="J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4" t="str">
        <f t="shared" si="1"/>
        <v/>
      </c>
      <c r="J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4" t="str">
        <f t="shared" si="1"/>
        <v/>
      </c>
      <c r="J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4" t="str">
        <f t="shared" si="1"/>
        <v/>
      </c>
      <c r="J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4" t="str">
        <f t="shared" si="1"/>
        <v/>
      </c>
      <c r="J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4" t="str">
        <f t="shared" si="1"/>
        <v/>
      </c>
      <c r="J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4" t="str">
        <f t="shared" si="1"/>
        <v/>
      </c>
      <c r="J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4" t="str">
        <f t="shared" si="1"/>
        <v/>
      </c>
      <c r="J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4" t="str">
        <f t="shared" si="1"/>
        <v/>
      </c>
      <c r="J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4" t="str">
        <f t="shared" si="1"/>
        <v/>
      </c>
      <c r="J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4" t="str">
        <f t="shared" si="1"/>
        <v/>
      </c>
      <c r="J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4" t="str">
        <f t="shared" si="1"/>
        <v/>
      </c>
      <c r="J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4" t="str">
        <f t="shared" si="1"/>
        <v/>
      </c>
      <c r="J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4" t="str">
        <f t="shared" si="1"/>
        <v/>
      </c>
      <c r="J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4" t="str">
        <f t="shared" si="1"/>
        <v/>
      </c>
      <c r="J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4" t="str">
        <f t="shared" si="1"/>
        <v/>
      </c>
      <c r="J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4" t="str">
        <f t="shared" si="1"/>
        <v/>
      </c>
      <c r="J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4" t="str">
        <f t="shared" si="1"/>
        <v/>
      </c>
      <c r="J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4" t="str">
        <f t="shared" si="1"/>
        <v/>
      </c>
      <c r="J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4" t="str">
        <f t="shared" si="1"/>
        <v/>
      </c>
      <c r="J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4" t="str">
        <f t="shared" si="1"/>
        <v/>
      </c>
      <c r="J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4" t="str">
        <f t="shared" si="1"/>
        <v/>
      </c>
      <c r="J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4" t="str">
        <f t="shared" si="1"/>
        <v/>
      </c>
      <c r="J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4" t="str">
        <f t="shared" si="1"/>
        <v/>
      </c>
      <c r="J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4" t="str">
        <f t="shared" si="1"/>
        <v/>
      </c>
      <c r="J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4" t="str">
        <f t="shared" si="1"/>
        <v/>
      </c>
      <c r="J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4" t="str">
        <f t="shared" si="1"/>
        <v/>
      </c>
      <c r="J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4" t="str">
        <f t="shared" si="1"/>
        <v/>
      </c>
      <c r="J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4" t="str">
        <f t="shared" si="1"/>
        <v/>
      </c>
      <c r="J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4" t="str">
        <f t="shared" si="1"/>
        <v/>
      </c>
      <c r="J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4" t="str">
        <f t="shared" si="1"/>
        <v/>
      </c>
      <c r="J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4" t="str">
        <f t="shared" si="1"/>
        <v/>
      </c>
      <c r="J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4" t="str">
        <f t="shared" si="1"/>
        <v/>
      </c>
      <c r="J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4" t="str">
        <f t="shared" si="1"/>
        <v/>
      </c>
      <c r="J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4" t="str">
        <f t="shared" si="1"/>
        <v/>
      </c>
      <c r="J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4" t="str">
        <f t="shared" si="1"/>
        <v/>
      </c>
      <c r="J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4" t="str">
        <f t="shared" si="1"/>
        <v/>
      </c>
      <c r="J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4" t="str">
        <f t="shared" si="1"/>
        <v/>
      </c>
      <c r="J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4" t="str">
        <f t="shared" si="1"/>
        <v/>
      </c>
      <c r="J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4" t="str">
        <f t="shared" si="1"/>
        <v/>
      </c>
      <c r="J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4" t="str">
        <f t="shared" si="1"/>
        <v/>
      </c>
      <c r="J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4" t="str">
        <f t="shared" si="1"/>
        <v/>
      </c>
      <c r="J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4" t="str">
        <f t="shared" si="1"/>
        <v/>
      </c>
      <c r="J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4" t="str">
        <f t="shared" si="1"/>
        <v/>
      </c>
      <c r="J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4" t="str">
        <f t="shared" si="1"/>
        <v/>
      </c>
      <c r="J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4" t="str">
        <f t="shared" si="1"/>
        <v/>
      </c>
      <c r="J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4" t="str">
        <f t="shared" si="1"/>
        <v/>
      </c>
      <c r="J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4" t="str">
        <f t="shared" si="1"/>
        <v/>
      </c>
      <c r="J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4" t="str">
        <f t="shared" si="1"/>
        <v/>
      </c>
      <c r="J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4" t="str">
        <f t="shared" si="1"/>
        <v/>
      </c>
      <c r="J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4" t="str">
        <f t="shared" si="1"/>
        <v/>
      </c>
      <c r="J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4" t="str">
        <f t="shared" si="1"/>
        <v/>
      </c>
      <c r="J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4" t="str">
        <f t="shared" si="1"/>
        <v/>
      </c>
      <c r="J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4" t="str">
        <f t="shared" si="1"/>
        <v/>
      </c>
      <c r="J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4" t="str">
        <f t="shared" si="1"/>
        <v/>
      </c>
      <c r="J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4" t="str">
        <f t="shared" si="1"/>
        <v/>
      </c>
      <c r="J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4" t="str">
        <f t="shared" si="1"/>
        <v/>
      </c>
      <c r="J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4" t="str">
        <f t="shared" si="1"/>
        <v/>
      </c>
      <c r="J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4" t="str">
        <f t="shared" si="1"/>
        <v/>
      </c>
      <c r="J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4" t="str">
        <f t="shared" si="1"/>
        <v/>
      </c>
      <c r="J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4" t="str">
        <f t="shared" si="1"/>
        <v/>
      </c>
      <c r="J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4" t="str">
        <f t="shared" si="1"/>
        <v/>
      </c>
      <c r="J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4" t="str">
        <f t="shared" si="1"/>
        <v/>
      </c>
      <c r="J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4" t="str">
        <f t="shared" si="1"/>
        <v/>
      </c>
      <c r="J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4" t="str">
        <f t="shared" si="1"/>
        <v/>
      </c>
      <c r="J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4" t="str">
        <f t="shared" si="1"/>
        <v/>
      </c>
      <c r="J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4" t="str">
        <f t="shared" si="1"/>
        <v/>
      </c>
      <c r="J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4" t="str">
        <f t="shared" si="1"/>
        <v/>
      </c>
      <c r="J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4" t="str">
        <f t="shared" si="1"/>
        <v/>
      </c>
      <c r="J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4" t="str">
        <f t="shared" si="1"/>
        <v/>
      </c>
      <c r="J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4" t="str">
        <f t="shared" si="1"/>
        <v/>
      </c>
      <c r="J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4" t="str">
        <f t="shared" si="1"/>
        <v/>
      </c>
      <c r="J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4" t="str">
        <f t="shared" si="1"/>
        <v/>
      </c>
      <c r="J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4" t="str">
        <f t="shared" si="1"/>
        <v/>
      </c>
      <c r="J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4" t="str">
        <f t="shared" si="1"/>
        <v/>
      </c>
      <c r="J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4" t="str">
        <f t="shared" si="1"/>
        <v/>
      </c>
      <c r="J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4" t="str">
        <f t="shared" si="1"/>
        <v/>
      </c>
      <c r="J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4" t="str">
        <f t="shared" si="1"/>
        <v/>
      </c>
      <c r="J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4" t="str">
        <f t="shared" si="1"/>
        <v/>
      </c>
      <c r="J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4" t="str">
        <f t="shared" si="1"/>
        <v/>
      </c>
      <c r="J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4" t="str">
        <f t="shared" si="1"/>
        <v/>
      </c>
      <c r="J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4" t="str">
        <f t="shared" si="1"/>
        <v/>
      </c>
      <c r="J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4" t="str">
        <f t="shared" si="1"/>
        <v/>
      </c>
      <c r="J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4" t="str">
        <f t="shared" si="1"/>
        <v/>
      </c>
      <c r="J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4" t="str">
        <f t="shared" si="1"/>
        <v/>
      </c>
      <c r="J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4" t="str">
        <f t="shared" si="1"/>
        <v/>
      </c>
      <c r="J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4" t="str">
        <f t="shared" si="1"/>
        <v/>
      </c>
      <c r="J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4" t="str">
        <f t="shared" si="1"/>
        <v/>
      </c>
      <c r="J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4" t="str">
        <f t="shared" si="1"/>
        <v/>
      </c>
      <c r="J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4" t="str">
        <f t="shared" si="1"/>
        <v/>
      </c>
      <c r="J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4" t="str">
        <f t="shared" si="1"/>
        <v/>
      </c>
      <c r="J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4" t="str">
        <f t="shared" si="1"/>
        <v/>
      </c>
      <c r="J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4" t="str">
        <f t="shared" si="1"/>
        <v/>
      </c>
      <c r="J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4" t="str">
        <f t="shared" si="1"/>
        <v/>
      </c>
      <c r="J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4" t="str">
        <f t="shared" si="1"/>
        <v/>
      </c>
      <c r="J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4" t="str">
        <f t="shared" si="1"/>
        <v/>
      </c>
      <c r="J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4" t="str">
        <f t="shared" si="1"/>
        <v/>
      </c>
      <c r="J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4" t="str">
        <f t="shared" si="1"/>
        <v/>
      </c>
      <c r="J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4" t="str">
        <f t="shared" si="1"/>
        <v/>
      </c>
      <c r="J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4" t="str">
        <f t="shared" si="1"/>
        <v/>
      </c>
      <c r="J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4" t="str">
        <f t="shared" si="1"/>
        <v/>
      </c>
      <c r="J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4" t="str">
        <f t="shared" si="1"/>
        <v/>
      </c>
      <c r="J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4" t="str">
        <f t="shared" si="1"/>
        <v/>
      </c>
      <c r="J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4" t="str">
        <f t="shared" si="1"/>
        <v/>
      </c>
      <c r="J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4" t="str">
        <f t="shared" si="1"/>
        <v/>
      </c>
      <c r="J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4" t="str">
        <f t="shared" si="1"/>
        <v/>
      </c>
      <c r="J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4" t="str">
        <f t="shared" si="1"/>
        <v/>
      </c>
      <c r="J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4" t="str">
        <f t="shared" si="1"/>
        <v/>
      </c>
      <c r="J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4" t="str">
        <f t="shared" si="1"/>
        <v/>
      </c>
      <c r="J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4" t="str">
        <f t="shared" si="1"/>
        <v/>
      </c>
      <c r="J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4" t="str">
        <f t="shared" si="1"/>
        <v/>
      </c>
      <c r="J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4" t="str">
        <f t="shared" si="1"/>
        <v/>
      </c>
      <c r="J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4" t="str">
        <f t="shared" si="1"/>
        <v/>
      </c>
      <c r="J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4" t="str">
        <f t="shared" si="1"/>
        <v/>
      </c>
      <c r="J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4" t="str">
        <f t="shared" si="1"/>
        <v/>
      </c>
      <c r="J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4" t="str">
        <f t="shared" si="1"/>
        <v/>
      </c>
      <c r="J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4" t="str">
        <f t="shared" si="1"/>
        <v/>
      </c>
      <c r="J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4" t="str">
        <f t="shared" si="1"/>
        <v/>
      </c>
      <c r="J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4" t="str">
        <f t="shared" si="1"/>
        <v/>
      </c>
      <c r="J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4" t="str">
        <f t="shared" si="1"/>
        <v/>
      </c>
      <c r="J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4" t="str">
        <f t="shared" si="1"/>
        <v/>
      </c>
      <c r="J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4" t="str">
        <f t="shared" si="1"/>
        <v/>
      </c>
      <c r="J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4" t="str">
        <f t="shared" si="1"/>
        <v/>
      </c>
      <c r="J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4" t="str">
        <f t="shared" si="1"/>
        <v/>
      </c>
      <c r="J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4" t="str">
        <f t="shared" si="1"/>
        <v/>
      </c>
      <c r="J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4" t="str">
        <f t="shared" si="1"/>
        <v/>
      </c>
      <c r="J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4" t="str">
        <f t="shared" si="1"/>
        <v/>
      </c>
      <c r="J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4" t="str">
        <f t="shared" si="1"/>
        <v/>
      </c>
      <c r="J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4" t="str">
        <f t="shared" si="1"/>
        <v/>
      </c>
      <c r="J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4" t="str">
        <f t="shared" si="1"/>
        <v/>
      </c>
      <c r="J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4" t="str">
        <f t="shared" si="1"/>
        <v/>
      </c>
      <c r="J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4" t="str">
        <f t="shared" si="1"/>
        <v/>
      </c>
      <c r="J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4" t="str">
        <f t="shared" si="1"/>
        <v/>
      </c>
      <c r="J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4" t="str">
        <f t="shared" si="1"/>
        <v/>
      </c>
      <c r="J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4" t="str">
        <f t="shared" si="1"/>
        <v/>
      </c>
      <c r="J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4" t="str">
        <f t="shared" si="1"/>
        <v/>
      </c>
      <c r="J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4" t="str">
        <f t="shared" si="1"/>
        <v/>
      </c>
      <c r="J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4" t="str">
        <f t="shared" si="1"/>
        <v/>
      </c>
      <c r="J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4" t="str">
        <f t="shared" si="1"/>
        <v/>
      </c>
      <c r="J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4" t="str">
        <f t="shared" si="1"/>
        <v/>
      </c>
      <c r="J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4" t="str">
        <f t="shared" si="1"/>
        <v/>
      </c>
      <c r="J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4" t="str">
        <f t="shared" si="1"/>
        <v/>
      </c>
      <c r="J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4" t="str">
        <f t="shared" si="1"/>
        <v/>
      </c>
      <c r="J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4" t="str">
        <f t="shared" si="1"/>
        <v/>
      </c>
      <c r="J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4" t="str">
        <f t="shared" si="1"/>
        <v/>
      </c>
      <c r="J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4" t="str">
        <f t="shared" si="1"/>
        <v/>
      </c>
      <c r="J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4" t="str">
        <f t="shared" si="1"/>
        <v/>
      </c>
      <c r="J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4" t="str">
        <f t="shared" si="1"/>
        <v/>
      </c>
      <c r="J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4" t="str">
        <f t="shared" si="1"/>
        <v/>
      </c>
      <c r="J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4" t="str">
        <f t="shared" si="1"/>
        <v/>
      </c>
      <c r="J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4" t="str">
        <f t="shared" si="1"/>
        <v/>
      </c>
      <c r="J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4" t="str">
        <f t="shared" si="1"/>
        <v/>
      </c>
      <c r="J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4" t="str">
        <f t="shared" si="1"/>
        <v/>
      </c>
      <c r="J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4" t="str">
        <f t="shared" si="1"/>
        <v/>
      </c>
      <c r="J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4" t="str">
        <f t="shared" si="1"/>
        <v/>
      </c>
      <c r="J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4" t="str">
        <f t="shared" si="1"/>
        <v/>
      </c>
      <c r="J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4" t="str">
        <f t="shared" si="1"/>
        <v/>
      </c>
      <c r="J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4" t="str">
        <f t="shared" si="1"/>
        <v/>
      </c>
      <c r="J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4" t="str">
        <f t="shared" si="1"/>
        <v/>
      </c>
      <c r="J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4" t="str">
        <f t="shared" si="1"/>
        <v/>
      </c>
      <c r="J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4" t="str">
        <f t="shared" si="1"/>
        <v/>
      </c>
      <c r="J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4" t="str">
        <f t="shared" si="1"/>
        <v/>
      </c>
      <c r="J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4" t="str">
        <f t="shared" si="1"/>
        <v/>
      </c>
      <c r="J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4" t="str">
        <f t="shared" si="1"/>
        <v/>
      </c>
      <c r="J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4" t="str">
        <f t="shared" si="1"/>
        <v/>
      </c>
      <c r="J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4" t="str">
        <f t="shared" si="1"/>
        <v/>
      </c>
      <c r="J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4" t="str">
        <f t="shared" si="1"/>
        <v/>
      </c>
      <c r="J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4" t="str">
        <f t="shared" si="1"/>
        <v/>
      </c>
      <c r="J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4" t="str">
        <f t="shared" si="1"/>
        <v/>
      </c>
      <c r="J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4" t="str">
        <f t="shared" si="1"/>
        <v/>
      </c>
      <c r="J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4" t="str">
        <f t="shared" si="1"/>
        <v/>
      </c>
      <c r="J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4" t="str">
        <f t="shared" si="1"/>
        <v/>
      </c>
      <c r="J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4" t="str">
        <f t="shared" si="1"/>
        <v/>
      </c>
      <c r="J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4" t="str">
        <f t="shared" si="1"/>
        <v/>
      </c>
      <c r="J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4" t="str">
        <f t="shared" si="1"/>
        <v/>
      </c>
      <c r="J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4" t="str">
        <f t="shared" si="1"/>
        <v/>
      </c>
      <c r="J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4" t="str">
        <f t="shared" si="1"/>
        <v/>
      </c>
      <c r="J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4" t="str">
        <f t="shared" si="1"/>
        <v/>
      </c>
      <c r="J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4" t="str">
        <f t="shared" si="1"/>
        <v/>
      </c>
      <c r="J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4" t="str">
        <f t="shared" si="1"/>
        <v/>
      </c>
      <c r="J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4" t="str">
        <f t="shared" si="1"/>
        <v/>
      </c>
      <c r="J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4" t="str">
        <f t="shared" si="1"/>
        <v/>
      </c>
      <c r="J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4" t="str">
        <f t="shared" si="1"/>
        <v/>
      </c>
      <c r="J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4" t="str">
        <f t="shared" si="1"/>
        <v/>
      </c>
      <c r="J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4" t="str">
        <f t="shared" si="1"/>
        <v/>
      </c>
      <c r="J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4" t="str">
        <f t="shared" si="1"/>
        <v/>
      </c>
      <c r="J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4" t="str">
        <f t="shared" si="1"/>
        <v/>
      </c>
      <c r="J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4" t="str">
        <f t="shared" si="1"/>
        <v/>
      </c>
      <c r="J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4" t="str">
        <f t="shared" si="1"/>
        <v/>
      </c>
      <c r="J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4" t="str">
        <f t="shared" si="1"/>
        <v/>
      </c>
      <c r="J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4" t="str">
        <f t="shared" si="1"/>
        <v/>
      </c>
      <c r="J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4" t="str">
        <f t="shared" si="1"/>
        <v/>
      </c>
      <c r="J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4" t="str">
        <f t="shared" si="1"/>
        <v/>
      </c>
      <c r="J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4" t="str">
        <f t="shared" si="1"/>
        <v/>
      </c>
      <c r="J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4" t="str">
        <f t="shared" si="1"/>
        <v/>
      </c>
      <c r="J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4" t="str">
        <f t="shared" si="1"/>
        <v/>
      </c>
      <c r="J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4" t="str">
        <f t="shared" si="1"/>
        <v/>
      </c>
      <c r="J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4" t="str">
        <f t="shared" si="1"/>
        <v/>
      </c>
      <c r="J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4" t="str">
        <f t="shared" si="1"/>
        <v/>
      </c>
      <c r="J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4" t="str">
        <f t="shared" si="1"/>
        <v/>
      </c>
      <c r="J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4" t="str">
        <f t="shared" si="1"/>
        <v/>
      </c>
      <c r="J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4" t="str">
        <f t="shared" si="1"/>
        <v/>
      </c>
      <c r="J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4" t="str">
        <f t="shared" si="1"/>
        <v/>
      </c>
      <c r="J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4" t="str">
        <f t="shared" si="1"/>
        <v/>
      </c>
      <c r="J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4" t="str">
        <f t="shared" si="1"/>
        <v/>
      </c>
      <c r="J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4" t="str">
        <f t="shared" si="1"/>
        <v/>
      </c>
      <c r="J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4" t="str">
        <f t="shared" si="1"/>
        <v/>
      </c>
      <c r="J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4" t="str">
        <f t="shared" si="1"/>
        <v/>
      </c>
      <c r="J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4" t="str">
        <f t="shared" si="1"/>
        <v/>
      </c>
      <c r="J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4" t="str">
        <f t="shared" si="1"/>
        <v/>
      </c>
      <c r="J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4" t="str">
        <f t="shared" si="1"/>
        <v/>
      </c>
      <c r="J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4" t="str">
        <f t="shared" si="1"/>
        <v/>
      </c>
      <c r="J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4" t="str">
        <f t="shared" si="1"/>
        <v/>
      </c>
      <c r="J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4" t="str">
        <f t="shared" si="1"/>
        <v/>
      </c>
      <c r="J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4" t="str">
        <f t="shared" si="1"/>
        <v/>
      </c>
      <c r="J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4" t="str">
        <f t="shared" si="1"/>
        <v/>
      </c>
      <c r="J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4" t="str">
        <f t="shared" si="1"/>
        <v/>
      </c>
      <c r="J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4" t="str">
        <f t="shared" si="1"/>
        <v/>
      </c>
      <c r="J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4" t="str">
        <f t="shared" si="1"/>
        <v/>
      </c>
      <c r="J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4" t="str">
        <f t="shared" si="1"/>
        <v/>
      </c>
      <c r="J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4" t="str">
        <f t="shared" si="1"/>
        <v/>
      </c>
      <c r="J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4" t="str">
        <f t="shared" si="1"/>
        <v/>
      </c>
      <c r="J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4" t="str">
        <f t="shared" si="1"/>
        <v/>
      </c>
      <c r="J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4" t="str">
        <f t="shared" si="1"/>
        <v/>
      </c>
      <c r="J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4" t="str">
        <f t="shared" si="1"/>
        <v/>
      </c>
      <c r="J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4" t="str">
        <f t="shared" si="1"/>
        <v/>
      </c>
      <c r="J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4" t="str">
        <f t="shared" si="1"/>
        <v/>
      </c>
      <c r="J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4" t="str">
        <f t="shared" si="1"/>
        <v/>
      </c>
      <c r="J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4" t="str">
        <f t="shared" si="1"/>
        <v/>
      </c>
      <c r="J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4" t="str">
        <f t="shared" si="1"/>
        <v/>
      </c>
      <c r="J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4" t="str">
        <f t="shared" si="1"/>
        <v/>
      </c>
      <c r="J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4" t="str">
        <f t="shared" si="1"/>
        <v/>
      </c>
      <c r="J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4" t="str">
        <f t="shared" si="1"/>
        <v/>
      </c>
      <c r="J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4" t="str">
        <f t="shared" si="1"/>
        <v/>
      </c>
      <c r="J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4" t="str">
        <f t="shared" si="1"/>
        <v/>
      </c>
      <c r="J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4" t="str">
        <f t="shared" si="1"/>
        <v/>
      </c>
      <c r="J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4" t="str">
        <f t="shared" si="1"/>
        <v/>
      </c>
      <c r="J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4" t="str">
        <f t="shared" si="1"/>
        <v/>
      </c>
      <c r="J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4" t="str">
        <f t="shared" si="1"/>
        <v/>
      </c>
      <c r="J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4" t="str">
        <f t="shared" si="1"/>
        <v/>
      </c>
      <c r="J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4" t="str">
        <f t="shared" si="1"/>
        <v/>
      </c>
      <c r="J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4" t="str">
        <f t="shared" si="1"/>
        <v/>
      </c>
      <c r="J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4" t="str">
        <f t="shared" si="1"/>
        <v/>
      </c>
      <c r="J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4" t="str">
        <f t="shared" si="1"/>
        <v/>
      </c>
      <c r="J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4" t="str">
        <f t="shared" si="1"/>
        <v/>
      </c>
      <c r="J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4" t="str">
        <f t="shared" si="1"/>
        <v/>
      </c>
      <c r="J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4" t="str">
        <f t="shared" si="1"/>
        <v/>
      </c>
      <c r="J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4" t="str">
        <f t="shared" si="1"/>
        <v/>
      </c>
      <c r="J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4" t="str">
        <f t="shared" si="1"/>
        <v/>
      </c>
      <c r="J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4" t="str">
        <f t="shared" si="1"/>
        <v/>
      </c>
      <c r="J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4" t="str">
        <f t="shared" si="1"/>
        <v/>
      </c>
      <c r="J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4" t="str">
        <f t="shared" si="1"/>
        <v/>
      </c>
      <c r="J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4" t="str">
        <f t="shared" si="1"/>
        <v/>
      </c>
      <c r="J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4" t="str">
        <f t="shared" si="1"/>
        <v/>
      </c>
      <c r="J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4" t="str">
        <f t="shared" si="1"/>
        <v/>
      </c>
      <c r="J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4" t="str">
        <f t="shared" si="1"/>
        <v/>
      </c>
      <c r="J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4" t="str">
        <f t="shared" si="1"/>
        <v/>
      </c>
      <c r="J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4" t="str">
        <f t="shared" si="1"/>
        <v/>
      </c>
      <c r="J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4" t="str">
        <f t="shared" si="1"/>
        <v/>
      </c>
      <c r="J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4" t="str">
        <f t="shared" si="1"/>
        <v/>
      </c>
      <c r="J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4" t="str">
        <f t="shared" si="1"/>
        <v/>
      </c>
      <c r="J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4" t="str">
        <f t="shared" si="1"/>
        <v/>
      </c>
      <c r="J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4" t="str">
        <f t="shared" si="1"/>
        <v/>
      </c>
      <c r="J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4" t="str">
        <f t="shared" si="1"/>
        <v/>
      </c>
      <c r="J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4" t="str">
        <f t="shared" si="1"/>
        <v/>
      </c>
      <c r="J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4" t="str">
        <f t="shared" si="1"/>
        <v/>
      </c>
      <c r="J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4" t="str">
        <f t="shared" si="1"/>
        <v/>
      </c>
      <c r="J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4" t="str">
        <f t="shared" si="1"/>
        <v/>
      </c>
      <c r="J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4" t="str">
        <f t="shared" si="1"/>
        <v/>
      </c>
      <c r="J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4" t="str">
        <f t="shared" si="1"/>
        <v/>
      </c>
      <c r="J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4" t="str">
        <f t="shared" si="1"/>
        <v/>
      </c>
      <c r="J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4" t="str">
        <f t="shared" si="1"/>
        <v/>
      </c>
      <c r="J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4" t="str">
        <f t="shared" si="1"/>
        <v/>
      </c>
      <c r="J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4" t="str">
        <f t="shared" si="1"/>
        <v/>
      </c>
      <c r="J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4" t="str">
        <f t="shared" si="1"/>
        <v/>
      </c>
      <c r="J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4" t="str">
        <f t="shared" si="1"/>
        <v/>
      </c>
      <c r="J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4" t="str">
        <f t="shared" si="1"/>
        <v/>
      </c>
      <c r="J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4" t="str">
        <f t="shared" si="1"/>
        <v/>
      </c>
      <c r="J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4" t="str">
        <f t="shared" si="1"/>
        <v/>
      </c>
      <c r="J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4" t="str">
        <f t="shared" si="1"/>
        <v/>
      </c>
      <c r="J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4" t="str">
        <f t="shared" si="1"/>
        <v/>
      </c>
      <c r="J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4" t="str">
        <f t="shared" si="1"/>
        <v/>
      </c>
      <c r="J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4" t="str">
        <f t="shared" si="1"/>
        <v/>
      </c>
      <c r="J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4" t="str">
        <f t="shared" si="1"/>
        <v/>
      </c>
      <c r="J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4" t="str">
        <f t="shared" si="1"/>
        <v/>
      </c>
      <c r="J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4" t="str">
        <f t="shared" si="1"/>
        <v/>
      </c>
      <c r="J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4" t="str">
        <f t="shared" si="1"/>
        <v/>
      </c>
      <c r="J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4" t="str">
        <f t="shared" si="1"/>
        <v/>
      </c>
      <c r="J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4" t="str">
        <f t="shared" si="1"/>
        <v/>
      </c>
      <c r="J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4" t="str">
        <f t="shared" si="1"/>
        <v/>
      </c>
      <c r="J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4" t="str">
        <f t="shared" si="1"/>
        <v/>
      </c>
      <c r="J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4" t="str">
        <f t="shared" si="1"/>
        <v/>
      </c>
      <c r="J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4" t="str">
        <f t="shared" si="1"/>
        <v/>
      </c>
      <c r="J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4" t="str">
        <f t="shared" si="1"/>
        <v/>
      </c>
      <c r="J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4" t="str">
        <f t="shared" si="1"/>
        <v/>
      </c>
      <c r="J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4" t="str">
        <f t="shared" si="1"/>
        <v/>
      </c>
      <c r="J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4" t="str">
        <f t="shared" si="1"/>
        <v/>
      </c>
      <c r="J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4" t="str">
        <f t="shared" si="1"/>
        <v/>
      </c>
      <c r="J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4" t="str">
        <f t="shared" si="1"/>
        <v/>
      </c>
      <c r="J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4" t="str">
        <f t="shared" si="1"/>
        <v/>
      </c>
      <c r="J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4" t="str">
        <f t="shared" si="1"/>
        <v/>
      </c>
      <c r="J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4" t="str">
        <f t="shared" si="1"/>
        <v/>
      </c>
      <c r="J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4" t="str">
        <f t="shared" si="1"/>
        <v/>
      </c>
      <c r="J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4" t="str">
        <f t="shared" si="1"/>
        <v/>
      </c>
      <c r="J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4" t="str">
        <f t="shared" si="1"/>
        <v/>
      </c>
      <c r="J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4" t="str">
        <f t="shared" si="1"/>
        <v/>
      </c>
      <c r="J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4" t="str">
        <f t="shared" si="1"/>
        <v/>
      </c>
      <c r="J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4" t="str">
        <f t="shared" si="1"/>
        <v/>
      </c>
      <c r="J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4" t="str">
        <f t="shared" si="1"/>
        <v/>
      </c>
      <c r="J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4" t="str">
        <f t="shared" si="1"/>
        <v/>
      </c>
      <c r="J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4" t="str">
        <f t="shared" si="1"/>
        <v/>
      </c>
      <c r="J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4" t="str">
        <f t="shared" si="1"/>
        <v/>
      </c>
      <c r="J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4" t="str">
        <f t="shared" si="1"/>
        <v/>
      </c>
      <c r="J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4" t="str">
        <f t="shared" si="1"/>
        <v/>
      </c>
      <c r="J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4" t="str">
        <f t="shared" si="1"/>
        <v/>
      </c>
      <c r="J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4" t="str">
        <f t="shared" si="1"/>
        <v/>
      </c>
      <c r="J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4" t="str">
        <f t="shared" si="1"/>
        <v/>
      </c>
      <c r="J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4" t="str">
        <f t="shared" si="1"/>
        <v/>
      </c>
      <c r="J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4" t="str">
        <f t="shared" si="1"/>
        <v/>
      </c>
      <c r="J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4" t="str">
        <f t="shared" si="1"/>
        <v/>
      </c>
      <c r="J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4" t="str">
        <f t="shared" si="1"/>
        <v/>
      </c>
      <c r="J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4" t="str">
        <f t="shared" si="1"/>
        <v/>
      </c>
      <c r="J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4" t="str">
        <f t="shared" si="1"/>
        <v/>
      </c>
      <c r="J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4" t="str">
        <f t="shared" si="1"/>
        <v/>
      </c>
      <c r="J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4" t="str">
        <f t="shared" si="1"/>
        <v/>
      </c>
      <c r="J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4" t="str">
        <f t="shared" si="1"/>
        <v/>
      </c>
      <c r="J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4" t="str">
        <f t="shared" si="1"/>
        <v/>
      </c>
      <c r="J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4" t="str">
        <f t="shared" si="1"/>
        <v/>
      </c>
      <c r="J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4" t="str">
        <f t="shared" si="1"/>
        <v/>
      </c>
      <c r="J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4" t="str">
        <f t="shared" si="1"/>
        <v/>
      </c>
      <c r="J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4" t="str">
        <f t="shared" si="1"/>
        <v/>
      </c>
      <c r="J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4" t="str">
        <f t="shared" si="1"/>
        <v/>
      </c>
      <c r="J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4" t="str">
        <f t="shared" si="1"/>
        <v/>
      </c>
      <c r="J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4" t="str">
        <f t="shared" si="1"/>
        <v/>
      </c>
      <c r="J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4" t="str">
        <f t="shared" si="1"/>
        <v/>
      </c>
      <c r="J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4" t="str">
        <f t="shared" si="1"/>
        <v/>
      </c>
      <c r="J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4" t="str">
        <f t="shared" si="1"/>
        <v/>
      </c>
      <c r="J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4" t="str">
        <f t="shared" si="1"/>
        <v/>
      </c>
      <c r="J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4" t="str">
        <f t="shared" si="1"/>
        <v/>
      </c>
      <c r="J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4" t="str">
        <f t="shared" si="1"/>
        <v/>
      </c>
      <c r="J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4" t="str">
        <f t="shared" si="1"/>
        <v/>
      </c>
      <c r="J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4" t="str">
        <f t="shared" si="1"/>
        <v/>
      </c>
      <c r="J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4" t="str">
        <f t="shared" si="1"/>
        <v/>
      </c>
      <c r="J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4" t="str">
        <f t="shared" si="1"/>
        <v/>
      </c>
      <c r="J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4" t="str">
        <f t="shared" si="1"/>
        <v/>
      </c>
      <c r="J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4" t="str">
        <f t="shared" si="1"/>
        <v/>
      </c>
      <c r="J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4" t="str">
        <f t="shared" si="1"/>
        <v/>
      </c>
      <c r="J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4" t="str">
        <f t="shared" si="1"/>
        <v/>
      </c>
      <c r="J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4" t="str">
        <f t="shared" si="1"/>
        <v/>
      </c>
      <c r="J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4" t="str">
        <f t="shared" si="1"/>
        <v/>
      </c>
      <c r="J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4" t="str">
        <f t="shared" si="1"/>
        <v/>
      </c>
      <c r="J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4" t="str">
        <f t="shared" si="1"/>
        <v/>
      </c>
      <c r="J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4" t="str">
        <f t="shared" si="1"/>
        <v/>
      </c>
      <c r="J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4" t="str">
        <f t="shared" si="1"/>
        <v/>
      </c>
      <c r="J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4" t="str">
        <f t="shared" si="1"/>
        <v/>
      </c>
      <c r="J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4" t="str">
        <f t="shared" si="1"/>
        <v/>
      </c>
      <c r="J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4" t="str">
        <f t="shared" si="1"/>
        <v/>
      </c>
      <c r="J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4" t="str">
        <f t="shared" si="1"/>
        <v/>
      </c>
      <c r="J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4" t="str">
        <f t="shared" si="1"/>
        <v/>
      </c>
      <c r="J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4" t="str">
        <f t="shared" si="1"/>
        <v/>
      </c>
      <c r="J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4" t="str">
        <f t="shared" si="1"/>
        <v/>
      </c>
      <c r="J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4" t="str">
        <f t="shared" si="1"/>
        <v/>
      </c>
      <c r="J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4" t="str">
        <f t="shared" si="1"/>
        <v/>
      </c>
      <c r="J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4" t="str">
        <f t="shared" si="1"/>
        <v/>
      </c>
      <c r="J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4" t="str">
        <f t="shared" si="1"/>
        <v/>
      </c>
      <c r="J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4" t="str">
        <f t="shared" si="1"/>
        <v/>
      </c>
      <c r="J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4" t="str">
        <f t="shared" si="1"/>
        <v/>
      </c>
      <c r="J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4" t="str">
        <f t="shared" si="1"/>
        <v/>
      </c>
      <c r="J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4" t="str">
        <f t="shared" si="1"/>
        <v/>
      </c>
      <c r="J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4" t="str">
        <f t="shared" si="1"/>
        <v/>
      </c>
      <c r="J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4" t="str">
        <f t="shared" si="1"/>
        <v/>
      </c>
      <c r="J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4" t="str">
        <f t="shared" si="1"/>
        <v/>
      </c>
      <c r="J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4" t="str">
        <f t="shared" si="1"/>
        <v/>
      </c>
      <c r="J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4" t="str">
        <f t="shared" si="1"/>
        <v/>
      </c>
      <c r="J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4" t="str">
        <f t="shared" si="1"/>
        <v/>
      </c>
      <c r="J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4" t="str">
        <f t="shared" si="1"/>
        <v/>
      </c>
      <c r="J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4" t="str">
        <f t="shared" si="1"/>
        <v/>
      </c>
      <c r="J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4" t="str">
        <f t="shared" si="1"/>
        <v/>
      </c>
      <c r="J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4" t="str">
        <f t="shared" si="1"/>
        <v/>
      </c>
      <c r="J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4" t="str">
        <f t="shared" si="1"/>
        <v/>
      </c>
      <c r="J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4" t="str">
        <f t="shared" si="1"/>
        <v/>
      </c>
      <c r="J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4" t="str">
        <f t="shared" si="1"/>
        <v/>
      </c>
      <c r="J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4" t="str">
        <f t="shared" si="1"/>
        <v/>
      </c>
      <c r="J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4" t="str">
        <f t="shared" si="1"/>
        <v/>
      </c>
      <c r="J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4" t="str">
        <f t="shared" si="1"/>
        <v/>
      </c>
      <c r="J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4" t="str">
        <f t="shared" si="1"/>
        <v/>
      </c>
      <c r="J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4" t="str">
        <f t="shared" si="1"/>
        <v/>
      </c>
      <c r="J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4" t="str">
        <f t="shared" si="1"/>
        <v/>
      </c>
      <c r="J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4" t="str">
        <f t="shared" si="1"/>
        <v/>
      </c>
      <c r="J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4" t="str">
        <f t="shared" si="1"/>
        <v/>
      </c>
      <c r="J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4" t="str">
        <f t="shared" si="1"/>
        <v/>
      </c>
      <c r="J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4" t="str">
        <f t="shared" si="1"/>
        <v/>
      </c>
      <c r="J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4" t="str">
        <f t="shared" si="1"/>
        <v/>
      </c>
      <c r="J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4" t="str">
        <f t="shared" si="1"/>
        <v/>
      </c>
      <c r="J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4" t="str">
        <f t="shared" si="1"/>
        <v/>
      </c>
      <c r="J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4" t="str">
        <f t="shared" si="1"/>
        <v/>
      </c>
      <c r="J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4" t="str">
        <f t="shared" si="1"/>
        <v/>
      </c>
      <c r="J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4" t="str">
        <f t="shared" si="1"/>
        <v/>
      </c>
      <c r="J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4" t="str">
        <f t="shared" si="1"/>
        <v/>
      </c>
      <c r="J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4" t="str">
        <f t="shared" si="1"/>
        <v/>
      </c>
      <c r="J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4" t="str">
        <f t="shared" si="1"/>
        <v/>
      </c>
      <c r="J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4" t="str">
        <f t="shared" si="1"/>
        <v/>
      </c>
      <c r="J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4" t="str">
        <f t="shared" si="1"/>
        <v/>
      </c>
      <c r="J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4" t="str">
        <f t="shared" si="1"/>
        <v/>
      </c>
      <c r="J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4" t="str">
        <f t="shared" si="1"/>
        <v/>
      </c>
      <c r="J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4" t="str">
        <f t="shared" si="1"/>
        <v/>
      </c>
      <c r="J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4" t="str">
        <f t="shared" si="1"/>
        <v/>
      </c>
      <c r="J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4" t="str">
        <f t="shared" si="1"/>
        <v/>
      </c>
      <c r="J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4" t="str">
        <f t="shared" si="1"/>
        <v/>
      </c>
      <c r="J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4" t="str">
        <f t="shared" si="1"/>
        <v/>
      </c>
      <c r="J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4" t="str">
        <f t="shared" si="1"/>
        <v/>
      </c>
      <c r="J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4" t="str">
        <f t="shared" si="1"/>
        <v/>
      </c>
      <c r="J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4" t="str">
        <f t="shared" si="1"/>
        <v/>
      </c>
      <c r="J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4" t="str">
        <f t="shared" si="1"/>
        <v/>
      </c>
      <c r="J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4" t="str">
        <f t="shared" si="1"/>
        <v/>
      </c>
      <c r="J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4" t="str">
        <f t="shared" si="1"/>
        <v/>
      </c>
      <c r="J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4" t="str">
        <f t="shared" si="1"/>
        <v/>
      </c>
      <c r="J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4" t="str">
        <f t="shared" si="1"/>
        <v/>
      </c>
      <c r="J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4" t="str">
        <f t="shared" si="1"/>
        <v/>
      </c>
      <c r="J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4" t="str">
        <f t="shared" si="1"/>
        <v/>
      </c>
      <c r="J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4" t="str">
        <f t="shared" si="1"/>
        <v/>
      </c>
      <c r="J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4" t="str">
        <f t="shared" si="1"/>
        <v/>
      </c>
      <c r="J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4" t="str">
        <f t="shared" si="1"/>
        <v/>
      </c>
      <c r="J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4" t="str">
        <f t="shared" si="1"/>
        <v/>
      </c>
      <c r="J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4" t="str">
        <f t="shared" si="1"/>
        <v/>
      </c>
      <c r="J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4" t="str">
        <f t="shared" si="1"/>
        <v/>
      </c>
      <c r="J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4" t="str">
        <f t="shared" si="1"/>
        <v/>
      </c>
      <c r="J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4" t="str">
        <f t="shared" si="1"/>
        <v/>
      </c>
      <c r="J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4" t="str">
        <f t="shared" si="1"/>
        <v/>
      </c>
      <c r="J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4" t="str">
        <f t="shared" si="1"/>
        <v/>
      </c>
      <c r="J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4" t="str">
        <f t="shared" si="1"/>
        <v/>
      </c>
      <c r="J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4" t="str">
        <f t="shared" si="1"/>
        <v/>
      </c>
      <c r="J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4" t="str">
        <f t="shared" si="1"/>
        <v/>
      </c>
      <c r="J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4" t="str">
        <f t="shared" si="1"/>
        <v/>
      </c>
      <c r="J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4" t="str">
        <f t="shared" si="1"/>
        <v/>
      </c>
      <c r="J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4" t="str">
        <f t="shared" si="1"/>
        <v/>
      </c>
      <c r="J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4" t="str">
        <f t="shared" si="1"/>
        <v/>
      </c>
      <c r="J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4" t="str">
        <f t="shared" si="1"/>
        <v/>
      </c>
      <c r="J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4" t="str">
        <f t="shared" si="1"/>
        <v/>
      </c>
      <c r="J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4" t="str">
        <f t="shared" si="1"/>
        <v/>
      </c>
      <c r="J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4" t="str">
        <f t="shared" si="1"/>
        <v/>
      </c>
      <c r="J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4" t="str">
        <f t="shared" si="1"/>
        <v/>
      </c>
      <c r="J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4" t="str">
        <f t="shared" si="1"/>
        <v/>
      </c>
      <c r="J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4" t="str">
        <f t="shared" si="1"/>
        <v/>
      </c>
      <c r="J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4" t="str">
        <f t="shared" si="1"/>
        <v/>
      </c>
      <c r="J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4" t="str">
        <f t="shared" si="1"/>
        <v/>
      </c>
      <c r="J989" s="125"/>
    </row>
    <row r="990">
      <c r="A990" s="125"/>
      <c r="B990" s="125"/>
      <c r="C990" s="125"/>
      <c r="D990" s="125"/>
      <c r="E990" s="125"/>
      <c r="F990" s="125"/>
      <c r="G990" s="125"/>
      <c r="H990" s="125"/>
      <c r="I990" s="124" t="str">
        <f t="shared" si="1"/>
        <v/>
      </c>
      <c r="J990" s="125"/>
    </row>
    <row r="991">
      <c r="A991" s="125"/>
      <c r="B991" s="125"/>
      <c r="C991" s="125"/>
      <c r="D991" s="125"/>
      <c r="E991" s="125"/>
      <c r="F991" s="125"/>
      <c r="G991" s="125"/>
      <c r="H991" s="125"/>
      <c r="I991" s="124" t="str">
        <f t="shared" si="1"/>
        <v/>
      </c>
      <c r="J991" s="125"/>
    </row>
    <row r="992">
      <c r="A992" s="125"/>
      <c r="B992" s="125"/>
      <c r="C992" s="125"/>
      <c r="D992" s="125"/>
      <c r="E992" s="125"/>
      <c r="F992" s="125"/>
      <c r="G992" s="125"/>
      <c r="H992" s="125"/>
      <c r="I992" s="124" t="str">
        <f t="shared" si="1"/>
        <v/>
      </c>
      <c r="J992" s="125"/>
    </row>
    <row r="993">
      <c r="A993" s="125"/>
      <c r="B993" s="125"/>
      <c r="C993" s="125"/>
      <c r="D993" s="125"/>
      <c r="E993" s="125"/>
      <c r="F993" s="125"/>
      <c r="G993" s="125"/>
      <c r="H993" s="125"/>
      <c r="I993" s="124" t="str">
        <f t="shared" si="1"/>
        <v/>
      </c>
      <c r="J993" s="125"/>
    </row>
    <row r="994">
      <c r="A994" s="125"/>
      <c r="B994" s="125"/>
      <c r="C994" s="125"/>
      <c r="D994" s="125"/>
      <c r="E994" s="125"/>
      <c r="F994" s="125"/>
      <c r="G994" s="125"/>
      <c r="H994" s="125"/>
      <c r="I994" s="124" t="str">
        <f t="shared" si="1"/>
        <v/>
      </c>
      <c r="J994" s="125"/>
    </row>
    <row r="995">
      <c r="A995" s="125"/>
      <c r="B995" s="125"/>
      <c r="C995" s="125"/>
      <c r="D995" s="125"/>
      <c r="E995" s="125"/>
      <c r="F995" s="125"/>
      <c r="G995" s="125"/>
      <c r="H995" s="125"/>
      <c r="I995" s="124" t="str">
        <f t="shared" si="1"/>
        <v/>
      </c>
      <c r="J995" s="125"/>
    </row>
    <row r="996">
      <c r="A996" s="125"/>
      <c r="B996" s="125"/>
      <c r="C996" s="125"/>
      <c r="D996" s="125"/>
      <c r="E996" s="125"/>
      <c r="F996" s="125"/>
      <c r="G996" s="125"/>
      <c r="H996" s="125"/>
      <c r="I996" s="124" t="str">
        <f t="shared" si="1"/>
        <v/>
      </c>
      <c r="J996" s="125"/>
    </row>
    <row r="997">
      <c r="A997" s="125"/>
      <c r="B997" s="125"/>
      <c r="C997" s="125"/>
      <c r="D997" s="125"/>
      <c r="E997" s="125"/>
      <c r="F997" s="125"/>
      <c r="G997" s="125"/>
      <c r="H997" s="125"/>
      <c r="I997" s="124" t="str">
        <f t="shared" si="1"/>
        <v/>
      </c>
      <c r="J997" s="125"/>
    </row>
    <row r="998">
      <c r="A998" s="125"/>
      <c r="B998" s="125"/>
      <c r="C998" s="125"/>
      <c r="D998" s="125"/>
      <c r="E998" s="125"/>
      <c r="F998" s="125"/>
      <c r="G998" s="125"/>
      <c r="H998" s="125"/>
      <c r="I998" s="124" t="str">
        <f t="shared" si="1"/>
        <v/>
      </c>
      <c r="J998" s="125"/>
    </row>
    <row r="999">
      <c r="A999" s="125"/>
      <c r="B999" s="125"/>
      <c r="C999" s="125"/>
      <c r="D999" s="125"/>
      <c r="E999" s="125"/>
      <c r="F999" s="125"/>
      <c r="G999" s="125"/>
      <c r="H999" s="125"/>
      <c r="I999" s="124" t="str">
        <f t="shared" si="1"/>
        <v/>
      </c>
      <c r="J999" s="125"/>
    </row>
    <row r="1000">
      <c r="A1000" s="125"/>
      <c r="B1000" s="125"/>
      <c r="C1000" s="125"/>
      <c r="D1000" s="125"/>
      <c r="E1000" s="125"/>
      <c r="F1000" s="125"/>
      <c r="G1000" s="125"/>
      <c r="H1000" s="125"/>
      <c r="I1000" s="124" t="str">
        <f t="shared" si="1"/>
        <v/>
      </c>
      <c r="J1000" s="125"/>
    </row>
  </sheetData>
  <mergeCells count="1">
    <mergeCell ref="A1:N1"/>
  </mergeCells>
  <conditionalFormatting sqref="K10">
    <cfRule type="notContainsBlanks" dxfId="5" priority="1">
      <formula>LEN(TRIM(K10))&gt;0</formula>
    </cfRule>
  </conditionalFormatting>
  <conditionalFormatting sqref="I3:I1000">
    <cfRule type="notContainsBlanks" dxfId="6" priority="2">
      <formula>LEN(TRIM(I3))&gt;0</formula>
    </cfRule>
  </conditionalFormatting>
  <dataValidations>
    <dataValidation type="list" allowBlank="1" showErrorMessage="1" sqref="J3:J118">
      <formula1>"House,Makro"</formula1>
    </dataValidation>
    <dataValidation type="list" allowBlank="1" showErrorMessage="1" sqref="B3:B1000">
      <formula1>"เลือกหมวดหมู่,อุปกรณ์ทำความสะอาด,อุปกรณ์ครัวหน้าร้าน,Matcha,อุปกรณ์ครัวหลังร้าน,Package,Re Package,ระบบ System,Marketing,วัตถุดิบหลัก,อุปกรณ์ทั่วไป"</formula1>
    </dataValidation>
    <dataValidation type="list" allowBlank="1" showErrorMessage="1" sqref="D1000">
      <formula1>"M01 Kagoshima Chiran "" Asanoka """</formula1>
    </dataValidation>
  </dataValidations>
  <drawing r:id="rId1"/>
  <tableParts count="1">
    <tablePart r:id="rId3"/>
  </tableParts>
</worksheet>
</file>