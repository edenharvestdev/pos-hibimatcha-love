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รหัสชา" sheetId="1" r:id="rId5"/>
    <sheet state="visible" name="Menu All base M23" sheetId="2" r:id="rId6"/>
    <sheet state="visible" name="ตัวเลือก" sheetId="3" r:id="rId7"/>
    <sheet state="visible" name="Classic" sheetId="4" r:id="rId8"/>
  </sheets>
  <definedNames/>
  <calcPr/>
</workbook>
</file>

<file path=xl/sharedStrings.xml><?xml version="1.0" encoding="utf-8"?>
<sst xmlns="http://schemas.openxmlformats.org/spreadsheetml/2006/main" count="1233" uniqueCount="814">
  <si>
    <t>Matcha Cultiva</t>
  </si>
  <si>
    <t>ชื่อจาก Supplier</t>
  </si>
  <si>
    <t>ชื่อของ Hibi</t>
  </si>
  <si>
    <t>Kagoshima Chiran " Asanoka "</t>
  </si>
  <si>
    <t xml:space="preserve">M01 Kagoshima Chiran Asanoka </t>
  </si>
  <si>
    <t>Kagoshima First Havest  “Shinju”</t>
  </si>
  <si>
    <t xml:space="preserve">M02 Kagoshima Shinju </t>
  </si>
  <si>
    <t>Uji tencha (Kyoto) “Kazen”</t>
  </si>
  <si>
    <t>M03 Uji Kazen</t>
  </si>
  <si>
    <t>Uji (Kyoto) “Samidori”</t>
  </si>
  <si>
    <t xml:space="preserve">M04 Uji Samidori </t>
  </si>
  <si>
    <t xml:space="preserve">Kagoshima Organic Matcha “Hikari”
</t>
  </si>
  <si>
    <t xml:space="preserve">M05 Kagoshima Hikari </t>
  </si>
  <si>
    <t>Uji (Kyoto)"Okumidori "</t>
  </si>
  <si>
    <t xml:space="preserve">M06 Uji Okumidori </t>
  </si>
  <si>
    <t>Mie Matcha “Seian”</t>
  </si>
  <si>
    <t xml:space="preserve">M07 Mie Matcha Seian </t>
  </si>
  <si>
    <t>Yame Gyokuro FD</t>
  </si>
  <si>
    <t xml:space="preserve">M08 Gyokuro Yame </t>
  </si>
  <si>
    <t>Organic Yabkita</t>
  </si>
  <si>
    <t xml:space="preserve">M09 Organic Yabukita </t>
  </si>
  <si>
    <t xml:space="preserve">Saemidori </t>
  </si>
  <si>
    <t xml:space="preserve">M10 Yame Saemidori </t>
  </si>
  <si>
    <t>Okumidori</t>
  </si>
  <si>
    <t xml:space="preserve">M11 Yame Okumidori </t>
  </si>
  <si>
    <t>1st Flush</t>
  </si>
  <si>
    <t xml:space="preserve">M12 Yame First Harvest </t>
  </si>
  <si>
    <t>Nutty</t>
  </si>
  <si>
    <t xml:space="preserve">M15 Yame Hojun </t>
  </si>
  <si>
    <t xml:space="preserve">Saeakari </t>
  </si>
  <si>
    <t xml:space="preserve">M16 Yame Saeakari </t>
  </si>
  <si>
    <t xml:space="preserve">Fukamushi </t>
  </si>
  <si>
    <t xml:space="preserve">M17 Yame Fukamushi </t>
  </si>
  <si>
    <t>Hibi Daichi Blend</t>
  </si>
  <si>
    <t>M18 Hibi Daichi Blend</t>
  </si>
  <si>
    <t>Hibi Tsuchi Blend</t>
  </si>
  <si>
    <t xml:space="preserve">M19 Hibi Tsuchi Blend </t>
  </si>
  <si>
    <t>Hibi Kumo Blend</t>
  </si>
  <si>
    <t>M20 Hibi Kumo Blend</t>
  </si>
  <si>
    <t>Hibi Sayaka</t>
  </si>
  <si>
    <t xml:space="preserve">M21 Hibi Sayaka </t>
  </si>
  <si>
    <t>Hibi Shizuku</t>
  </si>
  <si>
    <t xml:space="preserve">M22 Hibi Shizuku </t>
  </si>
  <si>
    <t>Hibi Noko</t>
  </si>
  <si>
    <t>M23 Hibi Noko</t>
  </si>
  <si>
    <t>Hibi Fukaho</t>
  </si>
  <si>
    <t>M24 Hibi Fukaho</t>
  </si>
  <si>
    <t>Kagoshima Organic Ceremonial Okumidori</t>
  </si>
  <si>
    <t>M26 Kagoshima Okumidori</t>
  </si>
  <si>
    <t>Hibi Noko Sen</t>
  </si>
  <si>
    <t>M29 Noko Sen</t>
  </si>
  <si>
    <t>Kagoshima Organic Ceremonial Loishi Matcha</t>
  </si>
  <si>
    <t>M30 Kagoshima Loishi</t>
  </si>
  <si>
    <t>Kagoshima Organic Matcha Hiri</t>
  </si>
  <si>
    <t>M31 Kagoshima Hiri</t>
  </si>
  <si>
    <t xml:space="preserve">Roasted Saemidori </t>
  </si>
  <si>
    <t>M32 Kagoshima Saemidori Baisen</t>
  </si>
  <si>
    <t xml:space="preserve">Roasted Kanayamidori </t>
  </si>
  <si>
    <t>M33 Kagoshima Kanayamidori Baisen</t>
  </si>
  <si>
    <t>Roasted Okumidori</t>
  </si>
  <si>
    <t>M34 Kagoshima Okumidori Baisen</t>
  </si>
  <si>
    <t>Roasted Shigeru Matcha</t>
  </si>
  <si>
    <t>M35 Kagoshima Shigeru Baisen</t>
  </si>
  <si>
    <t>Roasted Tsuyuhikari Matcha</t>
  </si>
  <si>
    <t>M36 Kagoshima Tsuyuhikari Baisen</t>
  </si>
  <si>
    <t>No.1 Yuzuru (結弦)</t>
  </si>
  <si>
    <t>M37 Exhibit No.1 Yuzuru</t>
  </si>
  <si>
    <t>No.2 Rin</t>
  </si>
  <si>
    <t>M38 Exhibit No.2 Rin</t>
  </si>
  <si>
    <t>No.3 Yumemi</t>
  </si>
  <si>
    <t>M39 Exhibit No.3 Yumemi</t>
  </si>
  <si>
    <t>Shizuoka Cha no Niwa O-Matcha Sou</t>
  </si>
  <si>
    <t>M40 O-Matcha Sou</t>
  </si>
  <si>
    <t>Kakegawa-san Fukamushi-cha Powder Tsubaski</t>
  </si>
  <si>
    <t>M41 Kakegawa Tsubaski</t>
  </si>
  <si>
    <t>Fuji Yabukita Second Flush</t>
  </si>
  <si>
    <t>M42 Fuji Yabukita Second Flush</t>
  </si>
  <si>
    <t>Hojicha Cultiva</t>
  </si>
  <si>
    <t>Hōjicha Kaori</t>
  </si>
  <si>
    <t xml:space="preserve">H01 Hojicha Kaori </t>
  </si>
  <si>
    <t>Hōjicha Kokoro</t>
  </si>
  <si>
    <t xml:space="preserve">H02 Hojicha Kokoro </t>
  </si>
  <si>
    <t>Hojicha Roast Aroma (EU)</t>
  </si>
  <si>
    <t>H03 Hojicha Roast Aroma (EU)</t>
  </si>
  <si>
    <t>Shizuoka Maple Fumi Hojicha Powder</t>
  </si>
  <si>
    <t>H04 Hōjicha Kōbashii</t>
  </si>
  <si>
    <t>Hojicha 深焙 (Shinbai)</t>
  </si>
  <si>
    <t>H05 Hojicha Shinbai</t>
  </si>
  <si>
    <t>Kōbashii Hōjicha</t>
  </si>
  <si>
    <t>H06 Shizuoka Maple Fumi Hojicha Powder</t>
  </si>
  <si>
    <t>Genmaicha</t>
  </si>
  <si>
    <t>Genmaicha Uguisu</t>
  </si>
  <si>
    <t>G01 Genmaicha Uguisu</t>
  </si>
  <si>
    <t>Tea</t>
  </si>
  <si>
    <t>SOP Jasmine Thai Tea</t>
  </si>
  <si>
    <t>T01 Jasmine Thai Tea</t>
  </si>
  <si>
    <t>หมวดหมู่</t>
  </si>
  <si>
    <t>รหัส</t>
  </si>
  <si>
    <t>รายการสินค้า</t>
  </si>
  <si>
    <t>ราคาหน้าร้าน</t>
  </si>
  <si>
    <t>ราคาDelivery</t>
  </si>
  <si>
    <t>Items Add</t>
  </si>
  <si>
    <t>สายพันธุ์ชา</t>
  </si>
  <si>
    <t>Matcha Classic เมนูพิเศษเลือกสายพันธ์</t>
  </si>
  <si>
    <t>HBC01M08C</t>
  </si>
  <si>
    <t>Classic Clear Matcha Gyokuro Yame</t>
  </si>
  <si>
    <t>มัทฉะใสจากชาเกรดพิเศษสำหรับเมนูคลาสสิก เผยรสอูมามิแท้และความหอมบริสุทธิ์ของชาเขียว ดื่มสดชื่นแบบคลีน</t>
  </si>
  <si>
    <t>A1,C1,B3,D1,F1,E2</t>
  </si>
  <si>
    <t>M08 Gyokuro Yame ซุปดาชิ  สาหร่ายคอมบุ</t>
  </si>
  <si>
    <t>HBC01M04C</t>
  </si>
  <si>
    <t>Classic Clear Matcha Uji Samidori</t>
  </si>
  <si>
    <t>หวานละมุน ไม่ขม หอมกลิ่นถั่วและเต้าหู้ขาว</t>
  </si>
  <si>
    <t>HBC01M03C</t>
  </si>
  <si>
    <t>Classic Clear Matcha Uji Kazen</t>
  </si>
  <si>
    <t>หอมดอกไม้และข้าวคั่ว ขมนุ่ม สดชื่นสะอาด</t>
  </si>
  <si>
    <t>HBC01M06C</t>
  </si>
  <si>
    <t>Classic Clear Matcha Uji Okumidori</t>
  </si>
  <si>
    <t>สายพันธ์เดี่ยวหายากUji (Kyoto)  เก็บเกี่ยวได้ปีละ 1 เดือน  "Okumidori"โทนสาหร่ายโนริ และรสละมุนถั่วพิตาชิโอ ติดเขียวอูมามิสูงละมุน</t>
  </si>
  <si>
    <t>HBC01M05C</t>
  </si>
  <si>
    <t>Classic Clear Matcha Kagoshima Hikari</t>
  </si>
  <si>
    <t>อูมามิหวานละมุน หอมถั่วเขียว สะอาดใส</t>
  </si>
  <si>
    <t>HBC01M01C</t>
  </si>
  <si>
    <t>Classic Clear Matcha Kagoshima Asanoka</t>
  </si>
  <si>
    <t>Ceremonial (Organic) จากเมือง Kagoshima โทนหวานหอมโดด “ข้าวโพดหวาน + ดอกไม้” ปลายมี “มะม่วงอ่อนๆ” ฟีลฟรุตตี้นิดๆ ทานได้ทั้ง Clear และ Latte</t>
  </si>
  <si>
    <t>M01 Kagoshima Asanoka ข้าวโพดหวาน ดอกไม้</t>
  </si>
  <si>
    <t>HBC01M09C</t>
  </si>
  <si>
    <t>Classic Clear Matcha Organic Yabukita</t>
  </si>
  <si>
    <t>หอมหญ้าสดและถั่วอ่อน กลมกล่อม หวานธรรมชาติ</t>
  </si>
  <si>
    <t>M09 Organic Yabukita เขียวสดสะอาด คลีน</t>
  </si>
  <si>
    <t>HBC01M02C</t>
  </si>
  <si>
    <t>Classic Clear Matcha Kagoshima Shinju</t>
  </si>
  <si>
    <t>หอมข้าวโพดหวาน อูมามิกลมลึก ครีมมี่ละมุน</t>
  </si>
  <si>
    <t>HBC01M31C</t>
  </si>
  <si>
    <t>Classic Clear Matcha Kagoshima Loishi</t>
  </si>
  <si>
    <t>Organic Ceremonial Loishi Matcha (First Harvest)
มัทฉะออร์แกนิกเก็บเกี่ยวครั้งแรก โทนพิธีชาที่ เข้มแต่สดชื่นยาวนาน
ให้รสสัมผัสที่ สดชื่นค้างในปากนานมาก พร้อมกลิ่นสดใสที่ไม่ใช่แค่ความเขียวธรรมดา แต่มีมิติของ
อูมามิถั่วเขียวอ่อนๆ ผสมกลิ่นหญ้าอ่อน และความละมุนคล้าย เต้าหู้สดโทนถั่วขาว
รสเข้มแบบ ceremonial แต่บาลานซ์ด้วยความหวานธรรมชาติ
ปลายรสยาว สะอาด และทิ้งโทนเขียวหวานแบบนุ่มลึก</t>
  </si>
  <si>
    <t>HBC01M10C</t>
  </si>
  <si>
    <t>Classic Clear Matcha Yame Saemidori</t>
  </si>
  <si>
    <t>เซนฉะสายพันธุ์ Saemidori จากแหล่งปลูกยาเมะ ให้กลิ่นหอมละมุนแบบ ถั่วเขียวอ่อนและหญ้าอ่อนสด สะอาด นุ่มนวลตั้งแต่จิบแรก</t>
  </si>
  <si>
    <t>M10 Yame Saemidori หอมถั่ว และเต้าหู้</t>
  </si>
  <si>
    <t>Classic Clear Matcha Yame Okumidori</t>
  </si>
  <si>
    <t>HBC01M26C</t>
  </si>
  <si>
    <t>Classic Clear Matcha Kagoshima Okumidori</t>
  </si>
  <si>
    <t>Ceremonial (Organic) จากเมือง Kagoshima โทนพิสตาชิโอ + สาหร่ายอ่อน + กลิ่นซุปดาชิ
(หอมอูมามิชัด นุ่มละมุน)</t>
  </si>
  <si>
    <t>HBC01M16C</t>
  </si>
  <si>
    <t>Classic Clear Matcha Yame Saeakari</t>
  </si>
  <si>
    <t>รสเบา นุ่มละมุน หวานปลาย เหมาะผู้เริ่มต้น</t>
  </si>
  <si>
    <t>HBC01M12C</t>
  </si>
  <si>
    <t>Classic Clear Matcha Yame First Harvest</t>
  </si>
  <si>
    <t>หอมหญ้าและดอกไม้อ่อนๆ สดชื่น รสสมดุล</t>
  </si>
  <si>
    <t>HBC01M32C</t>
  </si>
  <si>
    <t>Classic Clear Matcha Kagoshima Saemidori Baisen</t>
  </si>
  <si>
    <t>ฝาดน้อย หอมถั่วคั่ว อูมามิสาหร่ายธรรมชาติ</t>
  </si>
  <si>
    <t>HBC01M33C</t>
  </si>
  <si>
    <t>Classic Clear Matcha Kagoshima Kanayamidori Baisen</t>
  </si>
  <si>
    <t>อูมามิหวานธรรมชาติสูง หอมถั่วคั่วเป็นเอกลักษณ์</t>
  </si>
  <si>
    <t>HBC01M40C</t>
  </si>
  <si>
    <t>Classic Clear Matcha O-Matcha Sou</t>
  </si>
  <si>
    <t>หอมสาหร่ายและหญ้าอ่อน หวานธรรมชาติ นุ่ม ไม่ฝาด</t>
  </si>
  <si>
    <t>HBC01M42C</t>
  </si>
  <si>
    <t>Classic Clear Matcha Fuji Yabukita Second Flush</t>
  </si>
  <si>
    <t>หอมหญ้าสด อูมามิละมุน หวานปลายลิ้น</t>
  </si>
  <si>
    <t>HBC01M19C</t>
  </si>
  <si>
    <t>Classic Clear Matcha Hibi Tsuchi Blend</t>
  </si>
  <si>
    <t>อูมามิสดชื่น กลิ่นไม้ซิตรัส สมดุลชาเข้มกับความเบา</t>
  </si>
  <si>
    <t>HBC01M20C</t>
  </si>
  <si>
    <t>Classic Clear Matcha Hibi Kumo Blend</t>
  </si>
  <si>
    <t>หวานละมุน ข้าวโพด ถั่วเขียว พิสตาชิโอ ดื่มง่ายทุกวัน</t>
  </si>
  <si>
    <t>HBC01M21C</t>
  </si>
  <si>
    <t>Classic Clear Matcha Hibi Sayaka</t>
  </si>
  <si>
    <t>หอมสดใส ถั่วเขียวอ่อน วานิลลา หวานนวล สะอาด</t>
  </si>
  <si>
    <t>HBC01M22C</t>
  </si>
  <si>
    <t>Classic Clear Matcha Hibi Shizuku</t>
  </si>
  <si>
    <t>อูมามิสูง สดชื่นแบบเปลือกส้ม ถั่วอ่อน ดอกไม้ขาว</t>
  </si>
  <si>
    <t>HBC01M23C</t>
  </si>
  <si>
    <t>Classic Clear Matcha Hibi Noko</t>
  </si>
  <si>
    <t>กลิ่นทะเลและไม้ซิตรัส เข้มข้น ติดขมปลาย</t>
  </si>
  <si>
    <t>HBC01M04L</t>
  </si>
  <si>
    <t>Classic Matcha Latte Uji Samidori</t>
  </si>
  <si>
    <t>เซนฉะสายพันธุ์ Saemidori จากแหล่งปลูกยาเมะ ให้กลิ่นหอมละมุนแบบ ถั่วเขียวอ่อนและหญ้าอ่อนสด สะอาด นุ่มนวลตั้งแต่จิบแรก
รสชาติ หวานนวลตามธรรมชาติ ไม่ขม โครงสร้างรสกลมกล่อม ดื่มง่าย แต่ยังคงความสดชื่นและอูมามิแบบเซนฉะคุณภาพดี
เหมาะสำหรับผู้ที่ชอบชาเขียวโทน หวานละมุน สดใส ดื่มสบาย และต้องการเซนฉะที่สมดุลในทุกมิติ</t>
  </si>
  <si>
    <t>A1,B1,B4,C7,D2,F1,E2</t>
  </si>
  <si>
    <t>HBC01M06L</t>
  </si>
  <si>
    <t>Classic Matcha Latte Uji Okumidori</t>
  </si>
  <si>
    <t>M06 Uji Okumidori หอมนมละมุนเนียนครีม</t>
  </si>
  <si>
    <t>HBC01M26L</t>
  </si>
  <si>
    <t xml:space="preserve">Classic Matcha Latte Kagoshima Okumidori </t>
  </si>
  <si>
    <t>M26 Kagoshima Okumidori พิสตาชิโอสาหร่าย</t>
  </si>
  <si>
    <t>HBC01M07L</t>
  </si>
  <si>
    <t>Classic Matcha Latte Mie Matcha Seian</t>
  </si>
  <si>
    <t>กลมกล่อม หอมสาหร่ายสะอาด ถั่วอ่อน</t>
  </si>
  <si>
    <t>HBC01M10L</t>
  </si>
  <si>
    <t>Classic Matcha Latte Yame Saemidori</t>
  </si>
  <si>
    <t>อูมามิเด่น โนริสาหร่าย ยและถั่ววอลนัทคั่ว ปลายรสหวาน</t>
  </si>
  <si>
    <t>M10 Yame Saemidori หอมถั่วและเต้าหู้</t>
  </si>
  <si>
    <t>HBC01M11L</t>
  </si>
  <si>
    <t>Classic Matcha Latte Yame Okumidori</t>
  </si>
  <si>
    <t>M11 Yame Okumidori หอมสาหร่ายและถั่วคั่ว</t>
  </si>
  <si>
    <t>HBC01M01L</t>
  </si>
  <si>
    <t>Classic Matcha Latte Kagoshima Asanoka</t>
  </si>
  <si>
    <t>HBC01M30L</t>
  </si>
  <si>
    <t>Classic Matcha Latte Kagoshima Loishi</t>
  </si>
  <si>
    <t>HBC01M17L</t>
  </si>
  <si>
    <t>Classic Matcha Latte Yame Fukamushi</t>
  </si>
  <si>
    <t>เข้มข้น อูมามิเด่น เนื้อนุ่มครีมมี่</t>
  </si>
  <si>
    <t>HBC01M31L</t>
  </si>
  <si>
    <t>Classic Matcha Latte Kagoshima Hiri</t>
  </si>
  <si>
    <t>หอมสะอาดบริสุทธิ์ อูมามิสมดุล</t>
  </si>
  <si>
    <t>HBC01M15L</t>
  </si>
  <si>
    <t>Classic Matcha Latte Yame Hojun</t>
  </si>
  <si>
    <t xml:space="preserve">หอมถั่ววอลนัทและลิสงคั่ว รสเข้มอบอุ่น Grade Premium Latte จาก Yame Fukuoka สำหรับเมนูคลาสสิก เข้มข้น เนียนละเอียด รสชาติที่หลายๆคนถูกใจ </t>
  </si>
  <si>
    <t>M15 Yame Hojun หอมถั่วเข้ม นมและเต้าหู้</t>
  </si>
  <si>
    <t>HBC01M32L</t>
  </si>
  <si>
    <t>Classic Matcha Latte Kagoshima Saemidori Baisen</t>
  </si>
  <si>
    <t>HBC01M33L</t>
  </si>
  <si>
    <t>Classic Matcha Latte Kagoshima Kanayamidori Baisen</t>
  </si>
  <si>
    <t>HBC01M34L</t>
  </si>
  <si>
    <t>Classic Matcha Latte Kagoshima Okumidori Baisen</t>
  </si>
  <si>
    <t>อูมามิเข้มข้น หอมถั่วคั่ว มีมิติซับซ้อน</t>
  </si>
  <si>
    <t>HBC01M42L</t>
  </si>
  <si>
    <t>Classic Matcha Latte Fuji Yabukita Second Flush</t>
  </si>
  <si>
    <t>HBC01M41L</t>
  </si>
  <si>
    <t>Classic Matcha Latte Kakegawa-san Fukamushi-cha Powder Tsubaski</t>
  </si>
  <si>
    <t>เข้มข้นเต็มปาก หอมหญ้าและผักโขม หวานแบบผักสด</t>
  </si>
  <si>
    <t>HBC01M40L</t>
  </si>
  <si>
    <t>Classic Matcha Latte O-Matcha Sou</t>
  </si>
  <si>
    <t>มัทฉะสีเขียวมรกตสด เนื้อเนียนละเอียด ให้รสอุมามิชัดและสะอาด
โทนรสเหมือน “ชิ้นสาหร่ายพรีเมียมที่อร่อยมาก”
หอมสาหร่ายทะเลสดและหญ้าอ่อนตั้งแต่แรกสัมผัส
รสเปิดนุ่ม หวานธรรมชาติจากกรดอะมิโน
ปลายลิ้นมีกลิ่นถั่วบาง ๆ พร้อมรสชาที่ซับซ้อนยาวนาน
กลางลิ้นอุมามิกลมลึก
จบสะอาด ละเอียด ไม่ฝาด</t>
  </si>
  <si>
    <t>HBC01M19L</t>
  </si>
  <si>
    <t>Classic Matcha Latte Hibi Tsuchi Blend</t>
  </si>
  <si>
    <t>HBC01M20L</t>
  </si>
  <si>
    <t>Classic Matcha Latte Hibi Kumo Blend</t>
  </si>
  <si>
    <t>HBC02H02C</t>
  </si>
  <si>
    <t xml:space="preserve">Classic Clear Hojicha Kokoro </t>
  </si>
  <si>
    <t>โฮจิฉะชงใสจากชาเกรดพิเศษสำหรับเมนูคลาสสิก กลิ่นคั่วหอมละมุน รสนุ่ม เบา สบาย</t>
  </si>
  <si>
    <t>A1,B1,C2,D8,F1,E2</t>
  </si>
  <si>
    <t>M13 Hojicha Kokoro หอมนวลคาราเมลเข้ม</t>
  </si>
  <si>
    <t>HBC02H01C</t>
  </si>
  <si>
    <t>Classic Clear Hojicha Kaori</t>
  </si>
  <si>
    <t>หอมข้าวคั่วและอัลมอนด์ รสเข้มกลมกล่อม</t>
  </si>
  <si>
    <t>M14 Hojicha Kaori หอมอัลมอนคั่ว เนย</t>
  </si>
  <si>
    <t>HBC02H04C</t>
  </si>
  <si>
    <t>Classic Clear Kōbashii Hōjicha</t>
  </si>
  <si>
    <t>นุ่มละมุน ขมน้อย หอมถั่วคั่ว โกโก้ คาราเมล</t>
  </si>
  <si>
    <t>HBC02H05C</t>
  </si>
  <si>
    <t>Classic Clear Shizuoka Maple Fumi Hojicha Powder</t>
  </si>
  <si>
    <t>หอมถั่วอบและคาราเมล คล้ายเมเปิ้ลไซรัป</t>
  </si>
  <si>
    <t>HBC02H06C</t>
  </si>
  <si>
    <t>Classic Clear Hojicha Shinbai</t>
  </si>
  <si>
    <t>หอมเฮเซลนัทคั่ว คาราเมล คล้ายกาแฟคั่วอ่อน</t>
  </si>
  <si>
    <t>HBC02H02L</t>
  </si>
  <si>
    <t xml:space="preserve">Classic Hojicha Latte Kokoro </t>
  </si>
  <si>
    <t>โฮจิฉะจากชาเกรดพิเศษสำหรับเมนูคลาสสิก ตีกับนมสดจนเนียน ให้รสนุ่มลึก อบอุ่น</t>
  </si>
  <si>
    <t>A1,B1,B4,C7,D8,F1,E2</t>
  </si>
  <si>
    <t>HBC02H01L</t>
  </si>
  <si>
    <t>Classic Hojicha Latte Kaori</t>
  </si>
  <si>
    <t>HBC02H04L</t>
  </si>
  <si>
    <t>Classic Hojicha Latte Kōbashii Hōjicha</t>
  </si>
  <si>
    <t>HBC02H05L</t>
  </si>
  <si>
    <t>Classic Hojicha Latte Shizuoka Maple Fumi Hojicha Powder</t>
  </si>
  <si>
    <t>HBC02H06L</t>
  </si>
  <si>
    <t>Classic Hojicha Latte Hojicha Shinbai</t>
  </si>
  <si>
    <t>HBC03G01C</t>
  </si>
  <si>
    <t>Classic Clear Genmaicha</t>
  </si>
  <si>
    <t>Genmaicha Uguisu ชาข้าวคั่วจากชาเกรดพิเศษสำหรับเมนูคลาสสิก หอมกลิ่นข้าวอ่อนๆ เรียบหรู</t>
  </si>
  <si>
    <t>A1,B1,C2,D3,F1,E2</t>
  </si>
  <si>
    <t xml:space="preserve"> M28 "Genmaicha Uguisu"ชาข้าวคั่วชงใส</t>
  </si>
  <si>
    <t>HBC03G01L</t>
  </si>
  <si>
    <t>Classic Genmaicha Latte</t>
  </si>
  <si>
    <t>Genmaicha Uguisu ชาข้าวคั่วจากชาเกรดพิเศษสำหรับเมนูคลาสสิก ชงนม หอมละมุน รสนุ่มสมดุล</t>
  </si>
  <si>
    <t>A1,B1,B4,C7,D3,F1,E2</t>
  </si>
  <si>
    <t xml:space="preserve">M28 "Genmaicha Uguisu"ชาข้าวคั่วชงนม </t>
  </si>
  <si>
    <t>Matcha Refreshers เครื่องดื่มสดชื่น</t>
  </si>
  <si>
    <t>HBR01M23C</t>
  </si>
  <si>
    <t>Clear Matcha</t>
  </si>
  <si>
    <t>มัทฉะใสเย็นสดชื่น ให้รสอูมามิและความหอมของชาเขียว ดื่มง่ายแบบคลีน ไม่มีนมผสม</t>
  </si>
  <si>
    <t>A1,B1,C3,D6.E2</t>
  </si>
  <si>
    <t>M21 Hibi Sayakaหอมถั่วเขียวอ่อน วานิลลา</t>
  </si>
  <si>
    <t>HBR02M23C</t>
  </si>
  <si>
    <t>Matcha Honey Lemon (Home Made)</t>
  </si>
  <si>
    <t>มัทฉะใสผสมน้ำผึ้งเลมอนโฮมเมด รสเปรี้ยวหวานสดใส เลือกได้ทั้งแบบน้ำเปล่าหรือโซดา</t>
  </si>
  <si>
    <t>A1,B1,C3,D6,E1</t>
  </si>
  <si>
    <t>HBR03M23C</t>
  </si>
  <si>
    <t>Matcha Honey Lime (Home Made)</t>
  </si>
  <si>
    <t>มัทฉะใสผสมน้ำผึ้งและไลม์โฮมเมด ให้รสสดชื่น เปรี้ยวละมุน ดื่มสบาย</t>
  </si>
  <si>
    <t>HBR04M23C</t>
  </si>
  <si>
    <t>Kirei Yuzu Matcha</t>
  </si>
  <si>
    <t>มัทฉะใสผสานยูสุ ให้กลิ่นหอมสดใสแบบญี่ปุ่น รสเปรี้ยวละมุน ดื่มแล้วสดชื่น</t>
  </si>
  <si>
    <t>HBR05M23C</t>
  </si>
  <si>
    <t>Kori Osmanthus Matcha</t>
  </si>
  <si>
    <t>มัทฉะใสกลิ่นดอกหอมหมื่นลี้ หอมอ่อนๆ ละมุน สดชื่น ผ่อนคลาย</t>
  </si>
  <si>
    <t>A1,B1,C3,D6,,E1</t>
  </si>
  <si>
    <t>HBR06M23C</t>
  </si>
  <si>
    <t>Clear Matcha Coconut Jasmine Tea</t>
  </si>
  <si>
    <t>มัทฉะใสผสมน้ำมะพร้าวและชามะลิ หอมสดชื่นซ้อนกันอย่างลงตัว เสิร์ฟพร้อมมะพร้าวคั่ว</t>
  </si>
  <si>
    <t>A1,C5,D6,E2</t>
  </si>
  <si>
    <t>HBR07M23C</t>
  </si>
  <si>
    <t>Clear Matcha Coconut</t>
  </si>
  <si>
    <t>มัทฉะใสผสมน้ำมะพร้าวแท้ หอมหวานจากธรรมชาติ ให้ความสดชื่นแบบคลีน พร้อมมะพร้าวคั่ว</t>
  </si>
  <si>
    <t>A1,C6,D6,E2</t>
  </si>
  <si>
    <t>HBR08H03C</t>
  </si>
  <si>
    <t>Clear Hojicha</t>
  </si>
  <si>
    <t>โฮจิฉะชงใส กลิ่นคั่วหอมละมุน รสนุ่ม เบา สบาย คาเฟอีนน้อย</t>
  </si>
  <si>
    <t>A1,B1,C3,D10,E2</t>
  </si>
  <si>
    <t>HBR09M23C</t>
  </si>
  <si>
    <t>Clear Matcha Chrysanthemum</t>
  </si>
  <si>
    <t>มัทฉะเกรดพิธีชงแบบใส ผสานความหอมอ่อนของดอกเก๊กฮวย ให้รสชาติสะอาด สดชื่น พร้อมความหวานนุ่มตามธรรมชาติของดอกไม้</t>
  </si>
  <si>
    <t>A1,C9,D2,E2</t>
  </si>
  <si>
    <t>Matcha Milk &amp; Rich Matcha  Milk &amp; Rich เมนูนมครีมมี่</t>
  </si>
  <si>
    <t>HBM09M19L</t>
  </si>
  <si>
    <t>Hibi Cold Whisk Latte</t>
  </si>
  <si>
    <t>สัมผัสรสชาติมัทฉะที่ลุ่มลึกในสไตล์ญี่ปุ่นแท้ๆ เมนูสุดพิเศษที่ใช้ มัทฉะพรีเมียมซึ่งมีรสชาติเป็นเอกลักษณ์ ให้โทน Earthy &amp; Nutty เราบรรจงตีมัทฉะกับน้ำเย็นด้วยเทคนิคดั้งเดิม ก่อนราดลงบนนมสดเย็นฉ่ำ ทำให้ได้รสชาติที่เข้มข้น หอมกรุ่นสดชื่นแต่ยังคงความลุ่มลึกของมัทฉะคุณภาพสูงไว้เต็มคำ</t>
  </si>
  <si>
    <t>HBM01M18L</t>
  </si>
  <si>
    <t>Matcha Latte (Milk Whisk)</t>
  </si>
  <si>
    <t>มัทฉะลาเต้เนื้อเนียน ด้วยเทคนิคการตีมัทฉะกับนมสดจนกลมกล่อม ให้รสเข้ม หอมชา และสัมผัสที่นุ่มละมุน</t>
  </si>
  <si>
    <t>A1,B1,C7,D5,E2,G1</t>
  </si>
  <si>
    <t>M18 Hibi Daichi สายนัวถั่วครีมมี่</t>
  </si>
  <si>
    <t>HBM02M18L</t>
  </si>
  <si>
    <t>Matcha Latte Milk Mochi</t>
  </si>
  <si>
    <t>มัทฉะลาเต้คลาสสิก เพิ่มโมจิหนึบหนับ เคี้ยวเพลิน ให้ทั้งความหอม นุ่ม และสนุกในแก้วเดียว</t>
  </si>
  <si>
    <t>A1,C7,D5,E2,G1</t>
  </si>
  <si>
    <t>HBM03M18L</t>
  </si>
  <si>
    <t>Osmanthus Matcha Latte</t>
  </si>
  <si>
    <t>มัทฉะลาเต้หอมละมุน ผสานกลิ่นดอกหอมหมื่นลี้อ่อนๆ ให้รสนุ่ม สดชื่น และผ่อนคลาย</t>
  </si>
  <si>
    <t>A1,B1,C7,D5,E1,G1</t>
  </si>
  <si>
    <t>HBM04M18L</t>
  </si>
  <si>
    <t>Matcha Mango Latte</t>
  </si>
  <si>
    <t>มัทฉะลาเต้ผสานมะม่วงสุก ให้รสหวานฉ่ำแบบทรอปิคอล ตัดกับความเข้มของมัทฉะอย่างลงตัว</t>
  </si>
  <si>
    <t>HBM05M18L</t>
  </si>
  <si>
    <t>Matcha Strawberry Latte</t>
  </si>
  <si>
    <t>มัทฉะลาเต้เข้มข้น ผสานซอสสตรอว์เบอร์รีโฮมเมด เปรี้ยวหวานกลมกล่อม สีสันสวย ดื่มง่าย</t>
  </si>
  <si>
    <t>HBM06M18L</t>
  </si>
  <si>
    <t>Matcha Milk Mochi Taro Latte</t>
  </si>
  <si>
    <t>มัทฉะลาเต้ผสมเผือกกวนเนื้อเนียน เพิ่มโมจิหนึบหนับ ให้รสหอมมัน นุ่ม และเต็มอิ่มทุกคำ</t>
  </si>
  <si>
    <t>HBM07M18L</t>
  </si>
  <si>
    <t>Matcha Milk Mochi Red Bean Latte</t>
  </si>
  <si>
    <t>มัทฉะลาเต้ผสานถั่วแดงและโมจิ ให้รสหวานนุ่มแบบญี่ปุ่น เคี้ยวเพลิน อบอุ่นลงตัว</t>
  </si>
  <si>
    <t>HBM08H03L</t>
  </si>
  <si>
    <t>Hojicha Latte (Milk Whisk)</t>
  </si>
  <si>
    <t>โฮจิฉะลาเต้กลิ่นคั่วหอม ตีกับนมสดจนเนียน ให้รสนุ่ม ละมุน คาเฟอีนน้อย ดื่มสบาย</t>
  </si>
  <si>
    <t>A1,B1,C7,D10,E2,G1</t>
  </si>
  <si>
    <t>Fixed Recipe Menu เปลี่ยนนมไม่ได้</t>
  </si>
  <si>
    <t>HBF01</t>
  </si>
  <si>
    <t>Coconut on Cloud</t>
  </si>
  <si>
    <t>เครื่องดื่มน้ำมะพร้าวหอมสดชื่น ท็อปด้วยฟองครีมมัทฉะเนื้อเนียน ให้รสหวานมันของมะพร้าวตัดกับความหอมสดใสของชา ดื่มสนุก มีเลเยอร์</t>
  </si>
  <si>
    <t>A1,C6,D7,E2</t>
  </si>
  <si>
    <t>HBF02M18L</t>
  </si>
  <si>
    <t>Coconut Milk Whisk Latte</t>
  </si>
  <si>
    <t>มัทฉะลาเต้ตีน้ำนมมะพร้าวแท้จนเนียน ให้รสหอมมันเป็นเอกลักษณ์ เหมาะสำหรับผู้ที่ไม่ดื่มนมวัว เสิร์ฟพร้อมมะพร้าวคั่วเพิ่มสัมผัส</t>
  </si>
  <si>
    <t>A1,C6,D5,E2</t>
  </si>
  <si>
    <t>HBF03</t>
  </si>
  <si>
    <t>Matcha Cloud Latte</t>
  </si>
  <si>
    <t>มัทฉะลาเต้เข้มข้น ท็อปด้วยฟองนมสดนุ่มฟู ให้สัมผัสเบา ละมุน ดื่มแล้วสมดุลทั้งรสและเนื้อสัมผัส</t>
  </si>
  <si>
    <t>A1,C8,D7,E2</t>
  </si>
  <si>
    <t>HBF04</t>
  </si>
  <si>
    <t>Matcha Cheesecake Cloud</t>
  </si>
  <si>
    <t>มัทฉะลาเต้ท็อปฟองชีสเค้กเนื้อนุ่ม หอมมัน รสละมุนคล้ายของหวาน ดื่มง่าย ให้ความเข้มข้นอย่างพอดี</t>
  </si>
  <si>
    <t>HBF05M18L</t>
  </si>
  <si>
    <t>Matcha Cream Cheese Latte</t>
  </si>
  <si>
    <t>มัทฉะลาเต้เข้มข้น ผสานครีมชีสหอมมันเค็มนิดๆ ให้รสซับซ้อน กลมกล่อม ดื่มพร้อมกันสองเลเยอร์อย่างลงตัว</t>
  </si>
  <si>
    <t>A1,C8,D5,E2</t>
  </si>
  <si>
    <t>HBF06M18L</t>
  </si>
  <si>
    <t>Jasmine Thai Tea x Matcha Latte</t>
  </si>
  <si>
    <t>การผสมผสานระหว่างชาไทยกลิ่นมะลิและมัทฉะลาเต้ ให้รสหอมหวานละมุน มีเอกลักษณ์เฉพาะของสูตรร้าน</t>
  </si>
  <si>
    <t>A1,C8,D11,E3</t>
  </si>
  <si>
    <t>M25	Jasmine Thai Tea &amp; M18 Hibi Daichi</t>
  </si>
  <si>
    <t>Hibi Crafted Matcha (Signature) สูตรพิเศษของฮิบิ</t>
  </si>
  <si>
    <t>A1,D13,E2</t>
  </si>
  <si>
    <t>M19 Hibi Tsuchi Blend สายเข้มยกล้อ</t>
  </si>
  <si>
    <t>HBS02M15L</t>
  </si>
  <si>
    <t>Matcha Velvet Whisk Latte Cold Foam</t>
  </si>
  <si>
    <t>มัทฉะซิกเนเจอร์ที่ออกแบบมาเพื่อสายลาเต้โดยเฉพาะ
หอมมันนมเนย ฟองเนียนนุ่ม กลมกล่อมแบบถั่วนัว
เลือกสายพันธุ์มัทฉะที่มีโทนนัตตี้เป็นธรรมชาติ
ให้รสเข้มแต่ละมุน ดื่มง่าย อบอุ่น และมีเอกลักษณ์เฉพาะของ Hibi</t>
  </si>
  <si>
    <t>HBS03</t>
  </si>
  <si>
    <t>Matcha Creamcheese Mochi Skewer</t>
  </si>
  <si>
    <t>มัทฉะเข้มข้นจับคู่ครีมชีสหอมมัน เสริมโมจิหนึบหนับบนไม้สคิวเวอร์ ให้ทั้งความนัว ความนุ่ม และความสนุกในทุกคำ</t>
  </si>
  <si>
    <t>A1,C8,D4,E2</t>
  </si>
  <si>
    <t>HBS04H02L</t>
  </si>
  <si>
    <t>Kokoro Hojicha Honey Comb Velvet</t>
  </si>
  <si>
    <t>โฮจิฉะหอมกลิ่นคั่ว ละมุนลึก ท็อปด้วยฮันนี่คอมบ์คาราเมลกรอบ ให้รสหวานนุ่ม สมดุล ดื่มแล้วอบอุ่นใจ</t>
  </si>
  <si>
    <t>A1,C8,D9,E2</t>
  </si>
  <si>
    <t>M27 Hojicha Roast Aroma (EU)</t>
  </si>
  <si>
    <t>HBS05H02L</t>
  </si>
  <si>
    <t>Kokoro Hojicha Cheesecake Mochi</t>
  </si>
  <si>
    <t>โฮจิฉะหอมกลิ่นคั่ว ละมุนลึก เสิร์ฟพร้อมโมจิหนึบหนับ ราดถั่วและซอสคาราเมล วางบนครีมชีสเนื้อเนียน ให้รสหวานมันอย่างลงตัว</t>
  </si>
  <si>
    <t>HBS06</t>
  </si>
  <si>
    <t>Matcha Mango Pandan Cloud</t>
  </si>
  <si>
    <t>มัทฉะเข้มข้นผสานมะม่วงสุกและกลิ่นใบเตย ท็อปด้วยฟองนุ่ม ให้รสหวานหอมแบบทรอปิคอลอย่างมีมิติ</t>
  </si>
  <si>
    <t>A1,C10,E2</t>
  </si>
  <si>
    <t>HBS07M29</t>
  </si>
  <si>
    <t>Pandan Coconut Matcha Velvet</t>
  </si>
  <si>
    <t>มัทฉะลาเต้ผสานมิลค์โมจิ ใบเตย และนมมะพร้าว เติมความหอมหวานด้วยน้ำตาลคาราเมลไหม้ ให้เนื้อสัมผัสนุ่มแบบเวลเวท ดื่มง่ายแต่มีเอกลักษณ์</t>
  </si>
  <si>
    <t>A1,C6,D4,E2</t>
  </si>
  <si>
    <t>HBS08M29</t>
  </si>
  <si>
    <t>Pistachio Kunafa Matcha Luxe</t>
  </si>
  <si>
    <t>มัทฉะเข้มข้นจับคู่พิสตาชิโอและคูนาฟา ให้รสหอมมัน หรูหรา เนื้อสัมผัสกรอบนุ่มตัดกันอย่างลงตัว</t>
  </si>
  <si>
    <t>HBS09M29</t>
  </si>
  <si>
    <t>Matcha Tiramisu Lady</t>
  </si>
  <si>
    <t>มัทฉะสไตล์ทิรามิสุ ผสานเลดี้ฟิงเกอร์และครีมเนียน ให้รสเข้ม หอม นุ่ม ละมุนเหมือนของหวานคลาสสิก</t>
  </si>
  <si>
    <t>HBS10</t>
  </si>
  <si>
    <t>Velvet Matcha Banoffee</t>
  </si>
  <si>
    <t>คาราเมลกล้วยด้านล่าง
ราดด้วยมัทฉะวิสค์ลาเต้
ท็อปมาสคาโปนครีม และบิสกิตเคลือบช็อกโกแลตกรุบกรอบ
พร้อม Hojun Matcha โทนถั่วเข้มข้น จาก yame</t>
  </si>
  <si>
    <t>Non Matcha เมนูปราศจากมัทฉะ</t>
  </si>
  <si>
    <t>HBN01</t>
  </si>
  <si>
    <t>Honey Lime Soda</t>
  </si>
  <si>
    <t>น้ำผึ้งโฮมเมดผสานไลม์สด เติมโซดาให้ซ่ากำลังดี รสเปรี้ยวหวานสดชื่น ดื่มแล้วปลุกความสดใส</t>
  </si>
  <si>
    <t>A1,C3,E1</t>
  </si>
  <si>
    <t>HBN02</t>
  </si>
  <si>
    <t>Orange Yuzu Soda</t>
  </si>
  <si>
    <t>ส้มผสานยูสุ ให้รสเปรี้ยวหวานหอมสดใส เพิ่มความซ่าด้วยโซดา ดื่มง่ายและสดชื่น</t>
  </si>
  <si>
    <t>HBN03</t>
  </si>
  <si>
    <t>Osmanthus Honey Coconut</t>
  </si>
  <si>
    <t>หอมหมื่นลี้ผสมน้ำผึ้งและน้ำมะพร้าว ให้กลิ่นหอมอ่อนๆ รสหวานละมุน สดชื่นและผ่อนคลาย</t>
  </si>
  <si>
    <t>A1,E1</t>
  </si>
  <si>
    <t>HBN04T01</t>
  </si>
  <si>
    <t>Jasmine Thai Tea</t>
  </si>
  <si>
    <t>ชานมไทยสูตรเฉพาะ เบลนด์ชามะลิหอมธรรมชาติ
ให้รสชาเข้มชัด มันละมุนจากนมคุณภาพ
ดื่มแล้วได้ทั้งความหอม ความเข้ม และความนุ่มในแก้วเดียว</t>
  </si>
  <si>
    <t>A1,C8,D12,E3</t>
  </si>
  <si>
    <t>M25 Jasmine Thai Tea หอมชาไทยเข้ม มะลิ</t>
  </si>
  <si>
    <t>HBN05T01</t>
  </si>
  <si>
    <t>Jasmine Thai Tea Mochi</t>
  </si>
  <si>
    <t xml:space="preserve">ชานมไทยกลิ่นมะลิ เพิ่มโมจิเนื้อนุ่มให้ทั้งความหอม ความเข้ม </t>
  </si>
  <si>
    <t>HBN06T01</t>
  </si>
  <si>
    <t>Jasmine Taro Milk Tea Mochi</t>
  </si>
  <si>
    <t xml:space="preserve">ชานมไทยกลิ่นมะลิผสานเผือกเนื้อเนียน เพิ่มโมจิ รสนุ่ม หอม </t>
  </si>
  <si>
    <t>HBN07</t>
  </si>
  <si>
    <t>Honey Lemon Soda</t>
  </si>
  <si>
    <t>น้ำผึ้งผสานเลมอนสด เติมโซดาให้ซ่ากำลังดี รสเปรี้ยวหวานสดชื่น ดื่มแล้วสบาย</t>
  </si>
  <si>
    <t>HBN08</t>
  </si>
  <si>
    <t xml:space="preserve">Aged Honey Lime &amp; Plum </t>
  </si>
  <si>
    <t>น้ำผึ้งหมักผสานไลม์และบ๊วย ให้รสเปรี้ยวหวานลึก มีเอกลักษณ์ สดชื่นแบบเต็มรสชาติ</t>
  </si>
  <si>
    <t>HBN09</t>
  </si>
  <si>
    <t>Ichigo Ume Refresher</t>
  </si>
  <si>
    <t>สตรอว์เบอร์รีผสานบ๊วยและน้ำผึ้ง เติมโซดา ให้รสเปรี้ยวหวานสดใส ซ่ากำลังดี</t>
  </si>
  <si>
    <t>HBN10</t>
  </si>
  <si>
    <t>HBN11</t>
  </si>
  <si>
    <t>HBN12</t>
  </si>
  <si>
    <t>Strawberry Milk Snow Biscoff</t>
  </si>
  <si>
    <t>Topping เพิ่มความอร่อยของเมนูคุณ</t>
  </si>
  <si>
    <t>HBT01</t>
  </si>
  <si>
    <t>Topping Matcha Cloud</t>
  </si>
  <si>
    <t>เพิ่มชั้นมัทฉะให้เข้มข้นขึ้นอีกระดับ ด้วยฟองนมมัทฉะเนื้อเนียนนุ่ม เพิ่มทั้งความหอมและความลึกของรสมัทฉะ</t>
  </si>
  <si>
    <t>HBT02</t>
  </si>
  <si>
    <t>Topping Cream Cheese</t>
  </si>
  <si>
    <t>โฟมครีมชีสสูตรพิเศษของร้าน เนื้อเนียนนุ่ม ให้รสเค็มมันพอดี ช่วยตัดกับความหวานของเครื่องดื่มอย่างลงตัว</t>
  </si>
  <si>
    <t>HBT03</t>
  </si>
  <si>
    <t>Topping Milk Mochi</t>
  </si>
  <si>
    <t>ครีมโมจินมสดเนื้อนุ่มหนึบ เพิ่มความสนุกในการเคี้ยว ให้เครื่องดื่มอร่อยเพลินยิ่งขึ้น</t>
  </si>
  <si>
    <t>HBT04</t>
  </si>
  <si>
    <t>Topping Matcha Cheesecake Cloud</t>
  </si>
  <si>
    <t>การผสมผสานของมัทฉะเข้มข้นและครีมชีสเนียนนุ่ม ให้รสนัว หอม และกลมกล่อมในหนึ่งชั้นท็อป</t>
  </si>
  <si>
    <t>HBT05</t>
  </si>
  <si>
    <t>Topping Crispy Coco</t>
  </si>
  <si>
    <t>มะพร้าวอบกรอบ โรยหน้าเพิ่มความกรุบกรอบและกลิ่นหอมมันของมะพร้าวคั่วสดใหม่</t>
  </si>
  <si>
    <t>HBT06</t>
  </si>
  <si>
    <t>Topping Honey Comb Toffee Crispy</t>
  </si>
  <si>
    <t>ฮันนี่คอมบ์ทอฟฟี่กรอบ หอมหวานคาราเมล เพิ่มทั้งรสชาติและเนื้อสัมผัสให้เครื่องดื่มโดดเด่น</t>
  </si>
  <si>
    <t>HBT07</t>
  </si>
  <si>
    <t>Topping Taro Puree</t>
  </si>
  <si>
    <t>เนื้อเผือกกวน100%เนื้อเนียน ให้รสหอมมัน เพิ่มความนุ่มละมุนและความอิ่มเอม</t>
  </si>
  <si>
    <t>HBT08</t>
  </si>
  <si>
    <t>Topping Red Bean Puree</t>
  </si>
  <si>
    <t>ถั่วแดงกวนเนื้อนุ่ม รสหวานกำลังดี ให้กลิ่นอายขนมญี่ปุ่นแบบคลาสสิก</t>
  </si>
  <si>
    <t>HBT09</t>
  </si>
  <si>
    <t xml:space="preserve">Topping Mango Puree </t>
  </si>
  <si>
    <t>มะม่วงสุกปั่นเนื้อเนียน ให้รสหวานฉ่ำ สดใส เพิ่มความสดชื่นแบบทรอปิคอล</t>
  </si>
  <si>
    <t>HBT10</t>
  </si>
  <si>
    <t>Topping Fresh Strawberry Honey</t>
  </si>
  <si>
    <t>สตรอว์เบอร์รีสดผสานน้ำผึ้ง ให้รสเปรี้ยวหวานสดชื่น หอมธรรมชาติ</t>
  </si>
  <si>
    <t>HBT11</t>
  </si>
  <si>
    <t>Topping Velvet Milk Foam</t>
  </si>
  <si>
    <t>ยกระดับมัทฉะถ้วยโปรดด้วย Velvet Milk Foam โฟมนมพิเศษ นำไปปั่นจนเนื้อเนียนละเอียดดุจผ้ากำมะหยี่ ให้สัมผัสนุ่มละมุน หอมมัน และเข้มข้นกว่าโฟมนมทั่วไป เพิ่มมิติความอร่อยที่หาทานได้เฉพาะที่นี่เท่านั้น"</t>
  </si>
  <si>
    <t>Fusion Dessert ขนมหวานฟิวชัน</t>
  </si>
  <si>
    <t>HBD01</t>
  </si>
  <si>
    <t>Truffle Noir Basque</t>
  </si>
  <si>
    <t>"ชีสเค้กบาสก์หน้าไหม้สูตรพรีเมียม เนื้อเนียนนุ่ม
เข้มข้นด้วยครีมชีสจากฝรั่งเศส ผสานแบล็คทรัฟเฟิลแท้ 5%
ให้กลิ่นหอมลึก รสนัวละมุน มีเอกลักษณ์ เหมาะสำหรับคนรักชีสและทรัฟเฟิลอย่างแท้จริง
ชีสเค้กบาสก์หน้าไหม้ เนื้อเนียนนุ่ม
ใช้ครีมชีสจากฝรั่งเศส ผสมแบล็คทรัฟเฟิลแท้ 5%
หอมลึก นัวละมุน รสชาติพรีเมียมไม่เหมือนใคร
เหมาะสำหรับคนรักชีสและทรัฟเฟิลตัวจริง"</t>
  </si>
  <si>
    <t>HBD02</t>
  </si>
  <si>
    <t>Basque Matcha Azuki Mochi</t>
  </si>
  <si>
    <t>ชีสเค้กบาสก์มัทฉะเนื้อเนียน เข้มข้น ผสานถั่วแดงกวนและโมจินุ่มหนึบ ให้รสหวานละมุนแบบญี่ปุ่นร่วมสมัย</t>
  </si>
  <si>
    <t>HBD03</t>
  </si>
  <si>
    <t>Shiro Tofu Cheesecake</t>
  </si>
  <si>
    <t>ชีสเค้กเต้าหู้เนื้อเนียน นุ่ม เบา ให้รสละมุน หวานน้อย ดื่มคู่ชาได้อย่างสบาย</t>
  </si>
  <si>
    <t>HBD04A</t>
  </si>
  <si>
    <t>Black Truffle Financier</t>
  </si>
  <si>
    <t>HBD04B</t>
  </si>
  <si>
    <t>Citrus Noisette Financier</t>
  </si>
  <si>
    <t>บราวน์บัตเตอร์หอมถั่วคั่ว ผสานซิตรัสสดใส
ให้รสเปรี้ยวบาง ๆ ตัดความละมุนของเนยอย่างลงตัว</t>
  </si>
  <si>
    <t>HBD04C</t>
  </si>
  <si>
    <t>Matcha Yuzu Financier</t>
  </si>
  <si>
    <t>มัทฉะโทนถั่วละมุน สอดไส้ยูซุพิวเร่เปรี้ยวหอม
ได้ความเข้มของชาเขียวและความสดชื่นในคำเดียว</t>
  </si>
  <si>
    <t>HBD04D</t>
  </si>
  <si>
    <t>Matcha Noisette Financier</t>
  </si>
  <si>
    <t>บราวน์บัตเตอร์ผสานมัทฉะคุณภาพดี
กลิ่นถั่วคั่วจากเนยตัดกับโทนชาเขียวหอมละมุน</t>
  </si>
  <si>
    <t>HBD04E</t>
  </si>
  <si>
    <t>Noisette Financier</t>
  </si>
  <si>
    <t>สูตรต้นตำรับ กลิ่น Brown Butter ชัดเจน
หอมถั่วคั่ว เนื้อฉ่ำแน่นกำลังดี</t>
  </si>
  <si>
    <t>HBD05</t>
  </si>
  <si>
    <t>Roasted Hojicha Tiramisu</t>
  </si>
  <si>
    <t>ทีรามิสุโฮจิฉะคั่วหอม รสนุ่มลึก ผสานมาสคาร์โปนชีสเนียนละมุน ให้กลิ่นอบอุ่นและความหวานพอดี</t>
  </si>
  <si>
    <t>HBD06M</t>
  </si>
  <si>
    <t>Tiramisu Matcha (Homemade)</t>
  </si>
  <si>
    <t>"ทีรามิสุมัทฉะโฮมเมด ทำจาก Matcha Organic คัดพิเศษ
รสชาติเข้มข้น หอมมัทฉะแท้ ผสานความนัวละมุนของ Mascarpone Cheese
หวานกำลังดี ไม่เลี่ยน ทานเพลิน ๆ หมดถ้วยแบบไม่รู้ตัว
เหมาะสำหรับคนรักมัทฉะและสายของหวานที่อยากได้อะไรพรีเมียมแต่สบายใจ"</t>
  </si>
  <si>
    <t>HBD06C</t>
  </si>
  <si>
    <t>Classic Tiramisu  (Homemade)</t>
  </si>
  <si>
    <t>ทีรามิสุสูตรดั้งเดิม มาสคาร์โปนและไข่แดงแท้ เนียนนุ่ม เข้มข้นแบบอิตาเลียนแท้</t>
  </si>
  <si>
    <t>HBD07A</t>
  </si>
  <si>
    <t>Matcha Milk Mochi Brown Sugar Azuki</t>
  </si>
  <si>
    <t>มัทฉะนมเข้มข้น ผสานมิลค์โมจิเนื้อละมุนคล้ายครีมชีส ราดน้ำตาลทรายแดงหอมคาราเมล และถั่วแดงกวน ให้รสนัว หวานละมุนแบบญี่ปุ่น</t>
  </si>
  <si>
    <t>HBD07B</t>
  </si>
  <si>
    <t>Matcha Milk Mochi Brown Sugar Chestnut</t>
  </si>
  <si>
    <t>มัทฉะนมเข้มข้น ผสานมิลค์โมจิเนื้อละมุน ราดน้ำตาลทรายแดงหอมคาราเมล เพิ่มความหอมมันจากเกาลัด ให้รสนุ่มลึกเป็นพิเศษ</t>
  </si>
  <si>
    <t>HBD08A</t>
  </si>
  <si>
    <t>Milk Mochi Brown Sugar Azuki</t>
  </si>
  <si>
    <t>มิลค์โมจิเนื้อละมุนคล้ายครีมชีส ราดน้ำตาลทรายแดงหอมเข้ม เติมถั่วแดงกวน ให้รสหวานกลมกล่อม เรียบง่ายแต่ลงตัว</t>
  </si>
  <si>
    <t>HBD08B</t>
  </si>
  <si>
    <t>Milk Mochi Brown Sugar Chestnut</t>
  </si>
  <si>
    <t>มิลค์โมจิเนื้อละมุน ราดน้ำตาลทรายแดงหอมหวาน เติมเกาลัดเนื้อนุ่ม ให้รสละมุน อบอุ่น ทานเพลิน</t>
  </si>
  <si>
    <t>HBD11</t>
  </si>
  <si>
    <t>Mochi Butter Bun</t>
  </si>
  <si>
    <t>ขนมเค้กโมจิกรอบนอก นุ่มใน หอมเนย ให้สัมผัสตัดกันอย่างลงตัว ทานเพลินทุกคำ</t>
  </si>
  <si>
    <t>HBD11M</t>
  </si>
  <si>
    <t>Matcha Mochi Butter Bun</t>
  </si>
  <si>
    <t>ขนมเค้กมัทฉะโมจิกรอบนอก นุ่มใน หอมเนย ให้สัมผัสตัดกันอย่างลงตัว ทานเพลินทุกคำ</t>
  </si>
  <si>
    <t>HBD12</t>
  </si>
  <si>
    <t>Matcha Mochi Kinako Caramel</t>
  </si>
  <si>
    <t xml:space="preserve">โมจิเนื้อนุ่มหนึบหั่นเป็นชิ้นพอดีคำ คลุกเคล้าด้วย ผงมัทฉะโทนถั่ว  สีเขียวสดเข้ม กลิ่นหอมชาเด่นชัดแบบญี่ปุ่นแท้ ๆ จากนั้นราดด้วย ซอสคาราเมล/คุโรมิตสึ เข้มข้นหอมหวานกำลังดี เพิ่มมิติรสชาติด้วยการโรย ผงคินาโกะ (Kinako – ถั่วเหลืองคั่วบดละเอียด) </t>
  </si>
  <si>
    <t>HBD13M</t>
  </si>
  <si>
    <t>Premium Matcha Banana Cheesecake</t>
  </si>
  <si>
    <t>ชีสเค้กมัทฉะกล้วยหอมสูตรพรีเมียม ผสานความหอมละมุนของมัทฉะกับเค้กกล้วยหอมนุ่มชุ่ม และครีมชีสเนียนเข้มข้น
ให้รสหวานน้อย ขมปลายเบาๆ จากมัทฉะ ตัดด้วยความมันของเนยแท้และครีมชีสอย่างสมดุล
การผสมผสานที่ลงตัวของมัทฉะหอมละมุนกับเค้กกล้วยหอมนุ่ม ๆ และครีมชีสเนียนเข้มข้น
รสชาติหวานน้อย ขมปลายเบา ๆ จากมัทฉะตัดด้วยความมันของเนยแท้และครีมชีสอย่างพอดี</t>
  </si>
  <si>
    <t>HBD13</t>
  </si>
  <si>
    <t>Premium Banana Cheesecake</t>
  </si>
  <si>
    <t>ชีสเค้กกล้วยหอมสูตรพรีเมียม ใช้กล้วยหอมแท้ เนื้อเค้กนุ่มชุ่ม ปาดด้วยครีมชีสเนียนละมุน
อบสดใหม่ หอมเนยแท้จากนิวซีแลนด์ ผสานครีมชีสคุณภาพจากฝรั่งเศส ให้รสหวานกำลังดี ไม่เลี่ยน ดื่มคู่ชาได้ทุกเวลา
อบสดใหม่ หอมเนยแท้จากนิวซีแลนด์ เข้มข้นด้วยครีมชีสคุณภาพจากฝรั่งเศส หวานกำลังดี ไม่เลี่ยน เหมาะกับทุกช่วงเวลา</t>
  </si>
  <si>
    <t>HBD14A</t>
  </si>
  <si>
    <t>Milk Caramel Custard Mochi</t>
  </si>
  <si>
    <t>โมจิเนื้อนุ่มหนึบ สอดไส้คัสตาร์ดนมเข้มข้น
หอมหวานละมุน ราดด้วยคาราเมลเคี่ยวจนหอมไหม้อ่อน ๆ
เพิ่มความนัวและกลิ่นหอมลึกในทุกคำ</t>
  </si>
  <si>
    <t>HBD14B</t>
  </si>
  <si>
    <t>Peach Caramel Custard Mochi</t>
  </si>
  <si>
    <t>โมจิเนื้อนุ่ม สอดไส้พีชคัสตาร์ดหวานอมเปรี้ยว
ราดคาราเมลหอมไหม้ เพิ่มมิติรสชาติ
ละมุน สดชื่น และหอมพีชในทุกคำ</t>
  </si>
  <si>
    <t>Pink is Fine</t>
  </si>
  <si>
    <t>HBPC01M01</t>
  </si>
  <si>
    <t>Pink Clear Coconut Matcha</t>
  </si>
  <si>
    <t>HBPC02M30</t>
  </si>
  <si>
    <t>Sakura Pink Coconut Matcha Cloud</t>
  </si>
  <si>
    <t>HBPC03M31</t>
  </si>
  <si>
    <t>Pink Coconut Matcha Velvet</t>
  </si>
  <si>
    <t>HBPC04M30</t>
  </si>
  <si>
    <t>Pink Coconut Citrus Matcha</t>
  </si>
  <si>
    <t>HBPC05M23</t>
  </si>
  <si>
    <t>Clear Matcha Pink Coconut</t>
  </si>
  <si>
    <t>Pink Coconut Cloud</t>
  </si>
  <si>
    <t>หัวข้อตัวเลือก</t>
  </si>
  <si>
    <t>รายเชื่อตัวเลือก</t>
  </si>
  <si>
    <t>ราคา</t>
  </si>
  <si>
    <t>เมนูที่ผูก</t>
  </si>
  <si>
    <t>A1</t>
  </si>
  <si>
    <t>เลือกรูปแบบการแพ็คเครื่องดื่ม</t>
  </si>
  <si>
    <t>Standard (พร้อมดื่ม)</t>
  </si>
  <si>
    <t>Classic Clear Matcha</t>
  </si>
  <si>
    <t>Cool Pack (แยกน้ำแข็ง)</t>
  </si>
  <si>
    <t>Classic Matcha Latte</t>
  </si>
  <si>
    <t>Classic Clear Hojicha</t>
  </si>
  <si>
    <t>Classic Hojicha Latte</t>
  </si>
  <si>
    <t xml:space="preserve">Clear Matcha </t>
  </si>
  <si>
    <t>Matcha Honey lemon (Home Made)</t>
  </si>
  <si>
    <t>Kōri Osmanthus Matcha</t>
  </si>
  <si>
    <t xml:space="preserve">Clear Matcha Coconut </t>
  </si>
  <si>
    <t>Hojicha Latte</t>
  </si>
  <si>
    <t>Matcha Milk Moji Red Bean Latte</t>
  </si>
  <si>
    <t>Matcha Milk Moji Taro Latte</t>
  </si>
  <si>
    <t>Matcha Latte Milk Moji</t>
  </si>
  <si>
    <t>Kokoro Hojicha Honeycomb Velvet</t>
  </si>
  <si>
    <t>Matcha Cheesecake Mochi Skewer</t>
  </si>
  <si>
    <t>Jasmin Taro Milk Tea Mochi</t>
  </si>
  <si>
    <t>Jasmin Thai Tea Mochi</t>
  </si>
  <si>
    <t xml:space="preserve">A4
</t>
  </si>
  <si>
    <t xml:space="preserve">เลือกรูปแบบการแพ็คเครื่องดื่มสำหรับเมนู DIY
</t>
  </si>
  <si>
    <t>DIY Pack แพ็คแยกสำหรับประกอบที่บ้าน</t>
  </si>
  <si>
    <t>Blush Clear Peach Rose Matcha</t>
  </si>
  <si>
    <t>Blush Coconut Peach Rose Matcha Velvet</t>
  </si>
  <si>
    <t>Blush Peach Rose Mochi Skewer</t>
  </si>
  <si>
    <t>B1</t>
  </si>
  <si>
    <t>เลือกรูปแบบการเสิร์ฟเมนู</t>
  </si>
  <si>
    <t>Cold เสิร์ฟแบบเย็น</t>
  </si>
  <si>
    <t>Hot เสิร์ฟแบบร้อน</t>
  </si>
  <si>
    <t>B3</t>
  </si>
  <si>
    <t>เลือกระดับความเข้มของมัทฉะเคลียร์</t>
  </si>
  <si>
    <t>Ice Clear Matcha เมนูเย็น มาตรฐาน</t>
  </si>
  <si>
    <t>Hot Usucha เมนูร้อน มาตรฐาน</t>
  </si>
  <si>
    <t>Koicha เมนูร้อน เข้มมาก</t>
  </si>
  <si>
    <t>C1</t>
  </si>
  <si>
    <t>เลือกน้ำสำหรับเมนูมัทฉะคลาสสิค</t>
  </si>
  <si>
    <t>Mont Fleur น้ำแร่ปรกติ</t>
  </si>
  <si>
    <t>Soda โซดา</t>
  </si>
  <si>
    <t>Mont Fleur Elite Ox น้ำแร่พรีเมียม</t>
  </si>
  <si>
    <t>Coconut Water น้ำมะพร้าว</t>
  </si>
  <si>
    <t>Coconut Jasmine Tea ชาจัสมินน้ำมะพร้าว</t>
  </si>
  <si>
    <t>Pink Coconut น้ำมะพร้าวสีชมพู</t>
  </si>
  <si>
    <t>Honey Lemon ฮันนี่เลม่อน</t>
  </si>
  <si>
    <t>Honey Lime ฮันนี่ไลม์</t>
  </si>
  <si>
    <t>C2</t>
  </si>
  <si>
    <t xml:space="preserve">เลือกน้ำสำหรับเมนูโฮจิฉะและเกนไมฉะคลาสสิค
</t>
  </si>
  <si>
    <t>C3</t>
  </si>
  <si>
    <t>เลือกน้ำสำหรับเมนูเคลียร์และเมนูโซดา</t>
  </si>
  <si>
    <t>Water น้ำเปล่า</t>
  </si>
  <si>
    <t>Aged Honey Lime &amp; Plum</t>
  </si>
  <si>
    <t>C4</t>
  </si>
  <si>
    <t>เลือกน้ำสำหรับเมนูมัทฉะคลาสสิคพรีเมี่ยม</t>
  </si>
  <si>
    <t>Classic Clear Matcha (สายพันธุ์ Gyokuro Yame)</t>
  </si>
  <si>
    <t>Pink Coconut น้ำมะพร้าวชมพู</t>
  </si>
  <si>
    <t>C5</t>
  </si>
  <si>
    <t>เลือกชาจัสมินน้ำมะพร้าวสำหรับเมนูมัทฉะ</t>
  </si>
  <si>
    <t>C6</t>
  </si>
  <si>
    <t>เลือกน้ำมะพร้าวสำหรับเมนูมัทฉะ</t>
  </si>
  <si>
    <t>C7</t>
  </si>
  <si>
    <t>เลือกนมสำหรับเมนูลาเต้</t>
  </si>
  <si>
    <t>Milk นมสด</t>
  </si>
  <si>
    <t>Oat Milk นมโอ๊ต</t>
  </si>
  <si>
    <t>Almond Milk นมอัลมอนด์</t>
  </si>
  <si>
    <t>Lactose Free Milk นมปราศจากน้ำตาลแลคโตส</t>
  </si>
  <si>
    <t>C8</t>
  </si>
  <si>
    <t>เลือกนมสำหรับเมนูที่ใช้เฉพาะนมสด</t>
  </si>
  <si>
    <t>C10</t>
  </si>
  <si>
    <t>เลือกนมมะพร้าวสำหรับเมนูมัทฉะ</t>
  </si>
  <si>
    <t>Coconut Milk นมมะพร้าว</t>
  </si>
  <si>
    <t>C11</t>
  </si>
  <si>
    <t>เลือกมะพร้าวสำหรับเมนูมัทฉะคลาวด์</t>
  </si>
  <si>
    <t>Coconut On Cloud</t>
  </si>
  <si>
    <t>D1</t>
  </si>
  <si>
    <t>เลือกสายพันธุ์มัทฉะ Clear Classic</t>
  </si>
  <si>
    <t>D2</t>
  </si>
  <si>
    <t>เลือกสายพันธุ์มัทฉะ Latte Classic</t>
  </si>
  <si>
    <t>M01 Kagoshima Asanoka หอมถั่วคั่ว Earthy</t>
  </si>
  <si>
    <t>D3</t>
  </si>
  <si>
    <t>เลือกสายพันธุ์เก็นไมฉะ Genmaicha Classic</t>
  </si>
  <si>
    <t>D4</t>
  </si>
  <si>
    <t>เลือกสายพันธุ์มัทฉะ Noko Sen</t>
  </si>
  <si>
    <t>D5</t>
  </si>
  <si>
    <t>เลือกสายพันธุ์มัทฉะ Daichi</t>
  </si>
  <si>
    <t>D6</t>
  </si>
  <si>
    <t>เลือกสายพันธุ์มัทฉะ Sayaka</t>
  </si>
  <si>
    <t>M21 Hibi Sayaka หอมถั่วเขียวอ่อน วานิลลา</t>
  </si>
  <si>
    <t>D7</t>
  </si>
  <si>
    <t>เลือกสายพันธุ์มัทฉะ Yame Hojun</t>
  </si>
  <si>
    <t>D14</t>
  </si>
  <si>
    <t>เลือกสายพันธุ์ Hojicha Clear</t>
  </si>
  <si>
    <t>H01 Hojicha Kaori หอมอัลมอนคั่ว เนย</t>
  </si>
  <si>
    <t>H02 Hojicha Kokoro หอมนวลคาราเมลเข้ม</t>
  </si>
  <si>
    <t>D8</t>
  </si>
  <si>
    <t>เลือกสายพันธุ์ Hojicha Latte</t>
  </si>
  <si>
    <t>D9</t>
  </si>
  <si>
    <t>เลือกสายพันธุ์ Hojicha Kokoro</t>
  </si>
  <si>
    <t>D10</t>
  </si>
  <si>
    <t>เลือกสายพันธุ์โฮจิฉะ Hojicha Roast Aroma (EU)</t>
  </si>
  <si>
    <t>D11</t>
  </si>
  <si>
    <t>เลือกสายพันธุ์มัทฉะ x ชาไทย</t>
  </si>
  <si>
    <t>T01 Jasmine Thai Tea &amp; M18 Hibi Daichi</t>
  </si>
  <si>
    <t>D12</t>
  </si>
  <si>
    <t>เลือกสายพันธุ์ชาไทยมะลิ</t>
  </si>
  <si>
    <t>D13</t>
  </si>
  <si>
    <t>เลือกสายพันธุ์มัทฉะ Tsuchi</t>
  </si>
  <si>
    <t>M19 Hibi Tsuchi Blend สายเข้ม นัว</t>
  </si>
  <si>
    <t>E1</t>
  </si>
  <si>
    <t>เลือกระดับความหวานน้ำผึ้ง (Honey)</t>
  </si>
  <si>
    <t>หวานปรกติ (ตามสูตรของทางร้าน)</t>
  </si>
  <si>
    <t>เพิ่ม Honey หวานมาก 5g</t>
  </si>
  <si>
    <t>เพิ่ม Honey หวานสุดๆ 10g</t>
  </si>
  <si>
    <t>F1</t>
  </si>
  <si>
    <t>เลือกประเภทของไซรัป</t>
  </si>
  <si>
    <t>Syrup ไซรัป</t>
  </si>
  <si>
    <t>Keto Syrup คีโต ไซรัป</t>
  </si>
  <si>
    <t>Honey Acacia น้ำผึ้งดอกอาคาเชีย</t>
  </si>
  <si>
    <t>Maple Syrup เมเปิ้ลไซรัป</t>
  </si>
  <si>
    <t>E2</t>
  </si>
  <si>
    <t>เลือกระดับความหวาน (Sweetness)</t>
  </si>
  <si>
    <t>(ไซรัป 0g) ไม่หวานเลย</t>
  </si>
  <si>
    <t>(ไซรัป 3g) หวานดึงรสชาติ</t>
  </si>
  <si>
    <t>(ไซรัป 5g)หวานเล็กน้อย</t>
  </si>
  <si>
    <t>(ไซรัป 8g) หวานปรกติ</t>
  </si>
  <si>
    <t>(ไซรัป 10g) หวานชื่นใจ</t>
  </si>
  <si>
    <t>(ไซรัป 15g) หวานใจเกินร้อย</t>
  </si>
  <si>
    <t>Clear Matcha (Refreshers)</t>
  </si>
  <si>
    <t>Clear Hojicha (Refreshers)</t>
  </si>
  <si>
    <t>Hojicha Latte (Whisk Latte)</t>
  </si>
  <si>
    <t>E3</t>
  </si>
  <si>
    <t>เลือกระดับความหวานเมนูชาไทย</t>
  </si>
  <si>
    <t xml:space="preserve">(ไซรัป 0g) ไม่หวานเลย </t>
  </si>
  <si>
    <t>(ไซรัป 3g) หวานน้อย</t>
  </si>
  <si>
    <t>(ไซรัป 5g) หวานปรกติ</t>
  </si>
  <si>
    <t>(ไซรัป 8g) หวานใจเกินร้อย</t>
  </si>
  <si>
    <t>E4</t>
  </si>
  <si>
    <t>เลือกระดับความหวานเมนูดอกเก๊กฮวย</t>
  </si>
  <si>
    <t>(ไซรัปเก๊กฮวย 35g) หวานน้อย</t>
  </si>
  <si>
    <t>(ไซรัปเก๊กฮวย 40g) หวานปรกติ</t>
  </si>
  <si>
    <t>(ไซรัปเก๊กฮวย 50g) หวานใจเกินร้อย</t>
  </si>
  <si>
    <t xml:space="preserve">E5
</t>
  </si>
  <si>
    <t xml:space="preserve">เลือกระดับความหวานเมนูคลาสสิค
</t>
  </si>
  <si>
    <t>(0g) ไม่หวานเลย</t>
  </si>
  <si>
    <t>(3g) หวานดึงรสชาติ</t>
  </si>
  <si>
    <t>(5g)หวานเล็กน้อย</t>
  </si>
  <si>
    <t>(8g) หวานปรกติ</t>
  </si>
  <si>
    <t>(10g) หวานชื่นใจ</t>
  </si>
  <si>
    <t>(15g) หวานใจเกินร้อย</t>
  </si>
  <si>
    <t>E6</t>
  </si>
  <si>
    <t xml:space="preserve">เลือกระดับความหวานเมนูดอกหอมหมื่นลี้
</t>
  </si>
  <si>
    <t>(15g) หวานน้อย</t>
  </si>
  <si>
    <t>(20g) หวานปรกติ</t>
  </si>
  <si>
    <t>(25g) หวานมาก</t>
  </si>
  <si>
    <t>G1</t>
  </si>
  <si>
    <t>เพิ่ม Topping จากเมนู</t>
  </si>
  <si>
    <t>ไม่เพิ่ม Topping</t>
  </si>
  <si>
    <t>Matcha Cloud มัทฉะสัมผัสโฟมนุ่มละมุน</t>
  </si>
  <si>
    <t>Taro Puree เผือกบด หอม มันและหวานน้อย</t>
  </si>
  <si>
    <t>Red Bean Puree ถั่วแดง หวานกลมกล่อม</t>
  </si>
  <si>
    <t>Mango Puree มะม่วงสุกบด ซอสหวานอมเปรี้ยว</t>
  </si>
  <si>
    <t>Strawberry Honey สตรอว์เบอร์รีฮันนี่</t>
  </si>
  <si>
    <t>Cream Cheese Foam ครีมชีส</t>
  </si>
  <si>
    <t>Milk Moji Cream โมจินม</t>
  </si>
  <si>
    <t>Crispy Coco มะพร้าวคั่ว</t>
  </si>
  <si>
    <t>H1</t>
  </si>
  <si>
    <t>เลือกรูปแบบการอุ่นสำหรับขนมที่เน้นความกรอบ</t>
  </si>
  <si>
    <t>อุ่นร้อนกรอบนอก นุ่มใน</t>
  </si>
  <si>
    <t>ไม่อุ่น ทานเย็นเหนียวหนึบ</t>
  </si>
  <si>
    <t>H2</t>
  </si>
  <si>
    <t xml:space="preserve">เลือกรูปแบบการอุ่นสำหรับขนมที่เน้นความนุ่ม
</t>
  </si>
  <si>
    <t>อุ่นร้อนนุ่มละมุน</t>
  </si>
  <si>
    <t>ชื่อชา</t>
  </si>
  <si>
    <t>Grade</t>
  </si>
  <si>
    <t>คำอธิบาย / รายละเอียด</t>
  </si>
  <si>
    <t>ราคา Clear</t>
  </si>
  <si>
    <t>ราคา latte</t>
  </si>
  <si>
    <t>Master Piece</t>
  </si>
  <si>
    <t xml:space="preserve">Exhibit No.1  Yuzuru  </t>
  </si>
  <si>
    <t>The Master Piece</t>
  </si>
  <si>
    <t>รสอูมามิจะพุ่งกระจายตัวอย่างรวดเร็ว พร้อมกลิ่นหอมสีเขียวที่สง่างามฟุ้งอบอวลไปทั่วเพดานปากและทิ้ง Aftertaste ที่หรูหรายาวนาน</t>
  </si>
  <si>
    <t>CL</t>
  </si>
  <si>
    <t>HBC01M35C</t>
  </si>
  <si>
    <t>HBC01M35L</t>
  </si>
  <si>
    <t>Exhibit No.2  Rin</t>
  </si>
  <si>
    <t>ความขมและฝาดที่ลงตัว Body โปร่งสบาย ไม่หนักจนเกินไป มีเสน่ห์ลึกลับและซับซ้อน Character รสชาติเด่นชัด ดื่มได้ทุกวัน (Daily Luxury)</t>
  </si>
  <si>
    <t>C</t>
  </si>
  <si>
    <t>HBC01M36C</t>
  </si>
  <si>
    <t xml:space="preserve">Exhibit No.3 Yumemi </t>
  </si>
  <si>
    <t>มัทฉะชั้นสูงจากใบเกียวกุโระ ให้กลิ่นสาหร่ายทะเลแผ่น ๆ รสหวานนุ่มละมุนแบบอุมามิ มีความครีมมี่และกลิ่นถั่วอ่อน ๆ ปิดท้ายด้วยรสหวานกลมกล่อม เหมาะสำหรับสายพรีเมียม</t>
  </si>
  <si>
    <t>HBC01M37C</t>
  </si>
  <si>
    <t>HBC01M37L</t>
  </si>
  <si>
    <t>Classic Matcha</t>
  </si>
  <si>
    <t>Uji (Kyoto) "Samidori"</t>
  </si>
  <si>
    <t>Premium Ceremonial</t>
  </si>
  <si>
    <t>สายพันธุ์ Samidori สีเขียวใสหรู กลิ่นถั่วและเต้าหู้ขาว รสหวานและละมุนไม่ขม</t>
  </si>
  <si>
    <t>Uji (Kyoto) "Okumidori"</t>
  </si>
  <si>
    <t>สายพันธุ์ Okumidori แท้จากอุจิ กลิ่นนวลนมหอมฟุ้ง รสเข้มแต่ละมุน ปลายรสอุมามิเนียนครีม</t>
  </si>
  <si>
    <t>Kagoshima Chiran "Asanoka"</t>
  </si>
  <si>
    <t>Ceremonial (Organic)</t>
  </si>
  <si>
    <t>เบลนด์เข้มแน่นจากคาโกชิมะ กลิ่นถั่วคั่วและดินอ่อน ๆ รสหนักแน่นเหมาะกับลาเต้</t>
  </si>
  <si>
    <t>ออร์แกนิก Okumidori จากคาโกชิมะ กลิ่นหอมลึก รสอุมามิชัดเจน ปลายครีมมี่ เหมาะกับสายออร์แกนิกที่ชอบรสเข้ม</t>
  </si>
  <si>
    <t>มัทฉะออร์แกนิกจากภูเขา Loishi คาโกชิมะ กลิ่นสะอาดบริสุทธิ์ รสสมดุล เหมาะกับผู้รักออร์แกนิกทุกระดับ</t>
  </si>
  <si>
    <t>HBC01M30C</t>
  </si>
  <si>
    <t xml:space="preserve">Organic Yabukita </t>
  </si>
  <si>
    <t>มัทฉะออร์แกนิกจากสายพันธุ์ Yabukita ปลูกแบบปลอดสาร ให้กลิ่นหอมสดชื่นคล้ายหญ้าและถั่วอ่อน ๆ รสบาลานซ์กลมกล่อม มีความเขียวสะอาดและหวานธรรมชาติ</t>
  </si>
  <si>
    <t>Kagoshima First Havest "Shinju"</t>
  </si>
  <si>
    <t>Ceremonial</t>
  </si>
  <si>
    <t>หอมข้าวโพดหวาน อุมามิกลมลึก ครีมมีละมุน รสหวานกลมกล่อมและหรูหรา</t>
  </si>
  <si>
    <t>Uji tencha (Kyoto) "Kazen"</t>
  </si>
  <si>
    <t>หอมดอกไม้และข้าวคัว รสสดคลีสบาลานซ์ ขมนุ่มกลิ่นสะอาดแบบชาแท้</t>
  </si>
  <si>
    <t>Kagoshima Organic Matcha "Hikari"</t>
  </si>
  <si>
    <t>ออร์แกนิกจากคาโกชิมะ เก็บใบแรกของฤดู รสอุมามิหวานและมุน หอมถั่วเขียวใสสะอาด</t>
  </si>
  <si>
    <t>Kagoshima Saemidori Baisen</t>
  </si>
  <si>
    <t>สายพันธุ์ยอดนิยมอันดับ 1 สีเขียวสดสวยงาม เหมาะเบลนด์กับสายพันธุ์อื่น ฝาดน้อย กลิ่นอุมามิสาหร่ายธรรมชาติ คั่วเพื่อสร้างกลิ่นถั่ว High Note ที่น่าหลงใหล</t>
  </si>
  <si>
    <t>Kagoshima Kanayamidori Baisen</t>
  </si>
  <si>
    <t>สายพันธุ์เก่าแก่ที่สุดในตระกูลชาเขียว มีกรดอะมิโนสูงกว่าสายพันธุ์อื่น รสอุมามิหวานธรรมชาติสูง คั่วเพื่อสร้างกลิ่นถั่วธรรมชาติที่เป็นเอกลักษณ์</t>
  </si>
  <si>
    <t>สาหร่ายทะเลสด หญ้าอ่อน นุ่ม หวานธรรมชาติจากกรดอะมิโน อุมามิกลมลึก สะอาด ละเอียด ไม่ฝาด</t>
  </si>
  <si>
    <t>Yame Okumidori</t>
  </si>
  <si>
    <t>กลิ่นหอมลึกคล้ายสาหร่ายทะเลและถั่วตั้ว มีรสอุมามิมิด่นแต่ละมุน ปลายรสหวานติดดอก เหมาะสำหรับผู้ชอบรสชาเข้มแต่ละมุนกลมกล่อม</t>
  </si>
  <si>
    <t>L</t>
  </si>
  <si>
    <t>Kagoshima Okumidori Baisen</t>
  </si>
  <si>
    <t>สายพันธุ์ยอดนิยม นำมาคั่วอ่อน ๆ อย่างพิถีพิถันเพื่อสร้างรสอุมามิและกลิ่นถั่วที่ดีที่สุด ให้ความลึกและความซับซ้อนเป็นเอกลักษณ์</t>
  </si>
  <si>
    <t>Yame Saeakari</t>
  </si>
  <si>
    <t>Premium</t>
  </si>
  <si>
    <t>มัทฉะสายพันธุ์ใหม่จากยาเมะ สีเขียวสด กลิ่นสดคล้ายหญ้าและเต้าหู้ขาว รสเบา นุ่มละมุนและหวานปลาย เหมาะกับผู้เริ่มต้นดื่มมัทฉะ</t>
  </si>
  <si>
    <t>Yame Saemidori</t>
  </si>
  <si>
    <t>มัทฉะสายพันธุ์ยอดนิยม สีเขียวสดราวมรกต กลิ่นหอมคล้ายถั่วและหญ้าอ่อน มีรสหวานนวลแบบเต้าหู้สด ปลายรสนุ่มละมุนไม่ขม เหมาะกับลาเต้หรือดื่มเพียวเย็น</t>
  </si>
  <si>
    <t>Yame Yabukita First Harvest</t>
  </si>
  <si>
    <t>มัทฉะจากใบชาเก็บครั้งแรกของฤดู กลิ่นหอมสดเหมือนหญ้าอ่อนและดอกไม้น้อย รสบาลานซ์แห่งธรรมชาติ ให้ความรู้สึกสดชื่นและสะอาด</t>
  </si>
  <si>
    <t xml:space="preserve">Yame Fukamushi </t>
  </si>
  <si>
    <t>ชาอบไอน้ำแบบคั่วลึกจากยาเมะ กลิ่นหอมเข้มของชาและรสอูมามิเด่น เนื้อสัมผัสนุ่มครีมมี่แต่คงความเข้มของชา เหมาะกับผู้ชอบรสเข้มแต่ละมุน</t>
  </si>
  <si>
    <t>Mie Matcha "Seian"</t>
  </si>
  <si>
    <t>รสกลมกล่อมแบบญี่ปุ่นแท้ กลิ่นสาหรายสะอาด หอมถั่วอ่อน เหมาะกับดื่มเพียวหรือเบลนด์ลาเต้</t>
  </si>
  <si>
    <t>Yame Hōjun</t>
  </si>
  <si>
    <t>มัทฉะกลิ่นถั่วเข้มแบบบวอลนัทและถั่วลิสงคั้ว ผสมกลิ่นนมและเต้าหู้เล็กน้อย รสเข้มละมุนและอบอุ่น เหมาะกับเมนูลาเต้หรือขนมมัทฉะ</t>
  </si>
  <si>
    <t>มัทฉะออร์แกนิกระดับพรีเมียมจากคาโกชิมะ กลิ่นหอมสะอาดบริสุทธิ์ รสอุมามิสมดุล</t>
  </si>
  <si>
    <t>เขียวสดแบบใบหญ้าหลังฝน ผสานอุมามิละมุนคล้ายวากาเมะ หวานธรรมชาติแบบถั่วแระปลายลิ้นสะอาด</t>
  </si>
  <si>
    <t>หญ้าสด ผักโขมอ่อน เข้มข้น เต็มปากเต็มคำ Body หนาแน่นกว่าชาเขียวทั่วไป หวานเขียวแบบผักสด ติดนาน</t>
  </si>
  <si>
    <t>Hojicha</t>
  </si>
  <si>
    <t>โฮจิฉะคั่วด้วยไฟอ่อนจากยาเมะ กลิ่นหอมอ่อนของถั่วคั่ว คาราเมล และเต้าหู้ย่าง รสละมุนอุ่นสบาย เหมาะกับลาเต้หรือดื่มเย็น</t>
  </si>
  <si>
    <t>HBC02M13C</t>
  </si>
  <si>
    <t>HBC02M13L</t>
  </si>
  <si>
    <t>โฮจิฉะคั่วเข้ม กลิ่นหอมลึกคล้ายข้าวคั่วและอัลมอนด์ รสเข้มแต่กลม เหมาะกับผู้ชอบชาเข้มแบบญี่ปุ่นแท้</t>
  </si>
  <si>
    <t>HBC02M14C</t>
  </si>
  <si>
    <t>HBC02M14L</t>
  </si>
  <si>
    <t>นุ่ม ละมุน ขมน้อย มีโทนถั่วคั่ว โกโก้อ่อน และคาราเมลบาง ๆ</t>
  </si>
  <si>
    <t>HBC02M38C</t>
  </si>
  <si>
    <t>โฮจิฉะจากชิซุโอกะที่คั่วอย่างประณีต ให้กลิ่นถั่วอบและคาราเมลบาง ๆ คล้ายเมเปิลไซรัปอ่อน</t>
  </si>
  <si>
    <t>HBC02M39C</t>
  </si>
  <si>
    <t>Hojicha Shinbai</t>
  </si>
  <si>
    <t>โฮจิฉะแบบผงแท้ 100% คั่วอย่างพิถีพิถันจนได้กลิ่นหอมอบอุ่นชัดเจน โดดเด่นด้วยโทนถั่วเฮเซลนัทคั่วและคาราเมลอ่อน ๆ ผสานกลิ่นไม้และควันบาง ๆ ให้ความรู้สึกคล้ายกาแฟคั่วอ่อนแต่ละมุนกว่า</t>
  </si>
  <si>
    <t>HBC02M43C</t>
  </si>
  <si>
    <t>Shizuoka Genmaicha Powder Uguisu</t>
  </si>
  <si>
    <t xml:space="preserve"> มีโทน ถั่วอ่อนๆ และความหอมอบอุ่น กลิ่นชาเขียวอยู่เบื้องหลัง ไม่คม ไม่เขียวจัด</t>
  </si>
  <si>
    <t>HBC02G01C</t>
  </si>
  <si>
    <t>Fun Creative</t>
  </si>
  <si>
    <t>Hibi Blend</t>
  </si>
  <si>
    <t>Umami สดชื่น กลิ่นไม้ซิตรัส สมดุลระหว่างชาเข้มกับความเบา รสกลมกล่อมแบบพรีเมียม</t>
  </si>
  <si>
    <t>ข้าวโพดหวาน ถั่วเขียวญี่ปุ่น อโวคาโด พิสตาชิโอ วานิลลา รสหวานละมุน ดื่มง่าย เหมาะกับเมนูลาเต้ทุกวัน</t>
  </si>
  <si>
    <t>ถั่วเขียวอ่อน หญ้า วานิลลา หอมสดใส หวานนวล ดื่มง่ายทุกวัน รสละมุนและสะอาด</t>
  </si>
  <si>
    <t>อูมามิสูง กลิ่นสดชื่นแบบเปลือกส้ม ถั่วอ่อน และดอกไม้ขาว</t>
  </si>
  <si>
    <t>กลิ่น marine และ woody citrus เข้มข้น ติดขมปลาย</t>
  </si>
  <si>
    <t>หอมอโวคาโดสุก ครีมมี่เข้มแต่ยังสดชื่น ปลายอูมามิชัด ถูกใจคนไทย รสกลมกล่อมและครีมมี่สุด</t>
  </si>
  <si>
    <t>HBC01M18L</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</si>
</sst>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font>
    <font>
      <sz val="9.0"/>
      <color theme="1"/>
      <name val="Sarabun"/>
    </font>
    <font/>
    <font>
      <sz val="9.0"/>
      <color theme="1"/>
      <name val="Arial"/>
    </font>
    <font>
      <sz val="11.0"/>
      <color theme="1"/>
      <name val="Calibri"/>
    </font>
    <font>
      <sz val="11.0"/>
      <color theme="1"/>
      <name val="Tahoma"/>
    </font>
    <font>
      <sz val="11.0"/>
      <color rgb="FF2D2D2D"/>
      <name val="Inter Grab Web"/>
    </font>
    <font>
      <sz val="11.0"/>
      <color theme="1"/>
      <name val="Inter Grab Web"/>
    </font>
    <font>
      <sz val="11.0"/>
      <color theme="1"/>
      <name val="Arial"/>
    </font>
    <font>
      <sz val="11.0"/>
      <color rgb="FF2D2D2D"/>
      <name val="Arial"/>
    </font>
    <font>
      <b/>
      <color theme="1"/>
      <name val="Arial"/>
    </font>
    <font>
      <sz val="8.0"/>
      <color theme="1"/>
      <name val="Arial"/>
    </font>
    <font>
      <color theme="1"/>
      <name val="Sarabun"/>
    </font>
  </fonts>
  <fills count="31">
    <fill>
      <patternFill patternType="none"/>
    </fill>
    <fill>
      <patternFill patternType="lightGray"/>
    </fill>
    <fill>
      <patternFill patternType="solid">
        <fgColor rgb="FF6AA84F"/>
        <bgColor rgb="FF6AA84F"/>
      </patternFill>
    </fill>
    <fill>
      <patternFill patternType="solid">
        <fgColor rgb="FFD9EAD3"/>
        <bgColor rgb="FFD9EAD3"/>
      </patternFill>
    </fill>
    <fill>
      <patternFill patternType="solid">
        <fgColor rgb="FFCC4125"/>
        <bgColor rgb="FFCC4125"/>
      </patternFill>
    </fill>
    <fill>
      <patternFill patternType="solid">
        <fgColor rgb="FFE6B8AF"/>
        <bgColor rgb="FFE6B8AF"/>
      </patternFill>
    </fill>
    <fill>
      <patternFill patternType="solid">
        <fgColor rgb="FFE69138"/>
        <bgColor rgb="FFE69138"/>
      </patternFill>
    </fill>
    <fill>
      <patternFill patternType="solid">
        <fgColor rgb="FFF9CB9C"/>
        <bgColor rgb="FFF9CB9C"/>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FCE5CD"/>
        <bgColor rgb="FFFCE5CD"/>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A2C4C9"/>
        <bgColor rgb="FFA2C4C9"/>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FFF2CC"/>
        <bgColor rgb="FFFFF2CC"/>
      </patternFill>
    </fill>
    <fill>
      <patternFill patternType="solid">
        <fgColor rgb="FF38761D"/>
        <bgColor rgb="FF38761D"/>
      </patternFill>
    </fill>
    <fill>
      <patternFill patternType="solid">
        <fgColor rgb="FFB6D7A8"/>
        <bgColor rgb="FFB6D7A8"/>
      </patternFill>
    </fill>
    <fill>
      <patternFill patternType="solid">
        <fgColor rgb="FF00FF00"/>
        <bgColor rgb="FF00FF00"/>
      </patternFill>
    </fill>
    <fill>
      <patternFill patternType="solid">
        <fgColor rgb="FF93C47D"/>
        <bgColor rgb="FF93C47D"/>
      </patternFill>
    </fill>
    <fill>
      <patternFill patternType="solid">
        <fgColor rgb="FFDD7E6B"/>
        <bgColor rgb="FFDD7E6B"/>
      </patternFill>
    </fill>
    <fill>
      <patternFill patternType="solid">
        <fgColor rgb="FFEA9999"/>
        <bgColor rgb="FFEA9999"/>
      </patternFill>
    </fill>
    <fill>
      <patternFill patternType="solid">
        <fgColor rgb="FFD0E0E3"/>
        <bgColor rgb="FFD0E0E3"/>
      </patternFill>
    </fill>
    <fill>
      <patternFill patternType="solid">
        <fgColor rgb="FFE7F9EF"/>
        <bgColor rgb="FFE7F9EF"/>
      </patternFill>
    </fill>
    <fill>
      <patternFill patternType="solid">
        <fgColor rgb="FF6FA8DC"/>
        <bgColor rgb="FF6FA8DC"/>
      </patternFill>
    </fill>
    <fill>
      <patternFill patternType="solid">
        <fgColor rgb="FF4DD0E1"/>
        <bgColor rgb="FF4DD0E1"/>
      </patternFill>
    </fill>
    <fill>
      <patternFill patternType="solid">
        <fgColor rgb="FFEAD1DC"/>
        <bgColor rgb="FFEAD1DC"/>
      </patternFill>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Alignment="1" applyBorder="1" applyFill="1" applyFont="1">
      <alignment shrinkToFit="0" vertical="bottom" wrapText="1"/>
    </xf>
    <xf borderId="3" fillId="0" fontId="3" numFmtId="0" xfId="0" applyBorder="1" applyFont="1"/>
    <xf borderId="2" fillId="3" fontId="2" numFmtId="0" xfId="0" applyAlignment="1" applyBorder="1" applyFont="1">
      <alignment shrinkToFit="0" vertical="bottom" wrapText="1"/>
    </xf>
    <xf borderId="2" fillId="3" fontId="2" numFmtId="0" xfId="0" applyAlignment="1" applyBorder="1" applyFont="1">
      <alignment vertical="bottom"/>
    </xf>
    <xf borderId="2" fillId="3" fontId="4" numFmtId="0" xfId="0" applyAlignment="1" applyBorder="1" applyFont="1">
      <alignment vertical="bottom"/>
    </xf>
    <xf borderId="2" fillId="3" fontId="1" numFmtId="0" xfId="0" applyAlignment="1" applyBorder="1" applyFont="1">
      <alignment vertical="bottom"/>
    </xf>
    <xf borderId="0" fillId="0" fontId="1" numFmtId="0" xfId="0" applyAlignment="1" applyFont="1">
      <alignment vertical="bottom"/>
    </xf>
    <xf borderId="1" fillId="4" fontId="1" numFmtId="0" xfId="0" applyAlignment="1" applyBorder="1" applyFill="1" applyFont="1">
      <alignment horizontal="center" vertical="center"/>
    </xf>
    <xf borderId="2" fillId="5" fontId="2" numFmtId="0" xfId="0" applyAlignment="1" applyBorder="1" applyFill="1" applyFont="1">
      <alignment shrinkToFit="0" vertical="bottom" wrapText="1"/>
    </xf>
    <xf borderId="2" fillId="5" fontId="2" numFmtId="0" xfId="0" applyAlignment="1" applyBorder="1" applyFont="1">
      <alignment shrinkToFit="0" vertical="bottom" wrapText="1"/>
    </xf>
    <xf borderId="4" fillId="0" fontId="3" numFmtId="0" xfId="0" applyBorder="1" applyFont="1"/>
    <xf borderId="2" fillId="3" fontId="1" numFmtId="0" xfId="0" applyAlignment="1" applyBorder="1" applyFont="1">
      <alignment vertical="bottom"/>
    </xf>
    <xf borderId="1" fillId="6" fontId="1" numFmtId="0" xfId="0" applyAlignment="1" applyBorder="1" applyFill="1" applyFont="1">
      <alignment horizontal="center" vertical="center"/>
    </xf>
    <xf borderId="2" fillId="7" fontId="2" numFmtId="0" xfId="0" applyAlignment="1" applyBorder="1" applyFill="1" applyFont="1">
      <alignment shrinkToFit="0" vertical="bottom" wrapText="1"/>
    </xf>
    <xf borderId="2" fillId="7" fontId="1" numFmtId="0" xfId="0" applyAlignment="1" applyBorder="1" applyFont="1">
      <alignment vertical="bottom"/>
    </xf>
    <xf borderId="2" fillId="8" fontId="1" numFmtId="0" xfId="0" applyAlignment="1" applyBorder="1" applyFill="1" applyFont="1">
      <alignment vertical="bottom"/>
    </xf>
    <xf borderId="2" fillId="8" fontId="1" numFmtId="0" xfId="0" applyAlignment="1" applyBorder="1" applyFont="1">
      <alignment horizontal="center" vertical="bottom"/>
    </xf>
    <xf borderId="2" fillId="8" fontId="1" numFmtId="0" xfId="0" applyAlignment="1" applyBorder="1" applyFont="1">
      <alignment horizontal="center"/>
    </xf>
    <xf borderId="1" fillId="8" fontId="1" numFmtId="0" xfId="0" applyBorder="1" applyFont="1"/>
    <xf borderId="2" fillId="8" fontId="1" numFmtId="0" xfId="0" applyBorder="1" applyFont="1"/>
    <xf borderId="1" fillId="8" fontId="1" numFmtId="0" xfId="0" applyAlignment="1" applyBorder="1" applyFont="1">
      <alignment horizontal="center"/>
    </xf>
    <xf borderId="2" fillId="0" fontId="5" numFmtId="0" xfId="0" applyAlignment="1" applyBorder="1" applyFont="1">
      <alignment horizontal="center" vertical="bottom"/>
    </xf>
    <xf borderId="2" fillId="0" fontId="5" numFmtId="0" xfId="0" applyAlignment="1" applyBorder="1" applyFont="1">
      <alignment vertical="bottom"/>
    </xf>
    <xf borderId="1" fillId="8" fontId="6" numFmtId="0" xfId="0" applyAlignment="1" applyBorder="1" applyFont="1">
      <alignment horizontal="center"/>
    </xf>
    <xf borderId="2" fillId="8" fontId="6" numFmtId="0" xfId="0" applyBorder="1" applyFont="1"/>
    <xf borderId="2" fillId="8" fontId="6" numFmtId="0" xfId="0" applyAlignment="1" applyBorder="1" applyFont="1">
      <alignment horizontal="center"/>
    </xf>
    <xf borderId="2" fillId="8" fontId="6" numFmtId="0" xfId="0" applyAlignment="1" applyBorder="1" applyFont="1">
      <alignment vertical="bottom"/>
    </xf>
    <xf borderId="2" fillId="9" fontId="6" numFmtId="0" xfId="0" applyBorder="1" applyFill="1" applyFont="1"/>
    <xf borderId="2" fillId="9" fontId="1" numFmtId="0" xfId="0" applyBorder="1" applyFont="1"/>
    <xf borderId="2" fillId="9" fontId="1" numFmtId="0" xfId="0" applyAlignment="1" applyBorder="1" applyFont="1">
      <alignment vertical="bottom"/>
    </xf>
    <xf borderId="2" fillId="8" fontId="6" numFmtId="0" xfId="0" applyAlignment="1" applyBorder="1" applyFont="1">
      <alignment horizontal="right"/>
    </xf>
    <xf borderId="2" fillId="8" fontId="1" numFmtId="0" xfId="0" applyAlignment="1" applyBorder="1" applyFont="1">
      <alignment horizontal="right" vertical="bottom"/>
    </xf>
    <xf borderId="2" fillId="8" fontId="6" numFmtId="0" xfId="0" applyAlignment="1" applyBorder="1" applyFont="1">
      <alignment horizontal="right" vertical="bottom"/>
    </xf>
    <xf borderId="2" fillId="0" fontId="1" numFmtId="0" xfId="0" applyAlignment="1" applyBorder="1" applyFont="1">
      <alignment horizontal="right" vertical="bottom"/>
    </xf>
    <xf borderId="2" fillId="0" fontId="1" numFmtId="0" xfId="0" applyAlignment="1" applyBorder="1" applyFont="1">
      <alignment vertical="bottom"/>
    </xf>
    <xf borderId="2" fillId="10" fontId="6" numFmtId="0" xfId="0" applyAlignment="1" applyBorder="1" applyFill="1" applyFont="1">
      <alignment vertical="bottom"/>
    </xf>
    <xf borderId="2" fillId="10" fontId="6" numFmtId="0" xfId="0" applyBorder="1" applyFont="1"/>
    <xf borderId="2" fillId="10" fontId="1" numFmtId="0" xfId="0" applyAlignment="1" applyBorder="1" applyFont="1">
      <alignment horizontal="right" vertical="bottom"/>
    </xf>
    <xf borderId="2" fillId="10" fontId="1" numFmtId="0" xfId="0" applyAlignment="1" applyBorder="1" applyFont="1">
      <alignment vertical="bottom"/>
    </xf>
    <xf borderId="2" fillId="10" fontId="1" numFmtId="0" xfId="0" applyBorder="1" applyFont="1"/>
    <xf borderId="2" fillId="0" fontId="6" numFmtId="0" xfId="0" applyAlignment="1" applyBorder="1" applyFont="1">
      <alignment vertical="bottom"/>
    </xf>
    <xf borderId="0" fillId="0" fontId="1" numFmtId="0" xfId="0" applyAlignment="1" applyFont="1">
      <alignment horizontal="right" vertical="bottom"/>
    </xf>
    <xf borderId="1" fillId="9" fontId="1" numFmtId="0" xfId="0" applyAlignment="1" applyBorder="1" applyFont="1">
      <alignment vertical="bottom"/>
    </xf>
    <xf borderId="2" fillId="9" fontId="1" numFmtId="0" xfId="0" applyAlignment="1" applyBorder="1" applyFont="1">
      <alignment horizontal="right" vertical="bottom"/>
    </xf>
    <xf borderId="0" fillId="9" fontId="1" numFmtId="0" xfId="0" applyAlignment="1" applyFont="1">
      <alignment readingOrder="0" vertical="bottom"/>
    </xf>
    <xf borderId="0" fillId="9" fontId="1" numFmtId="0" xfId="0" applyAlignment="1" applyFont="1">
      <alignment horizontal="right" readingOrder="0" vertical="bottom"/>
    </xf>
    <xf borderId="0" fillId="9" fontId="1" numFmtId="0" xfId="0" applyAlignment="1" applyFont="1">
      <alignment vertical="bottom"/>
    </xf>
    <xf borderId="2" fillId="0" fontId="1" numFmtId="0" xfId="0" applyAlignment="1" applyBorder="1" applyFont="1">
      <alignment horizontal="center"/>
    </xf>
    <xf borderId="2" fillId="0" fontId="1" numFmtId="0" xfId="0" applyAlignment="1" applyBorder="1" applyFont="1">
      <alignment horizontal="center" vertical="bottom"/>
    </xf>
    <xf borderId="1" fillId="0" fontId="1" numFmtId="0" xfId="0" applyAlignment="1" applyBorder="1" applyFont="1">
      <alignment horizontal="center"/>
    </xf>
    <xf borderId="1" fillId="11" fontId="1" numFmtId="0" xfId="0" applyAlignment="1" applyBorder="1" applyFill="1" applyFont="1">
      <alignment horizontal="center"/>
    </xf>
    <xf borderId="2" fillId="11" fontId="1" numFmtId="0" xfId="0" applyAlignment="1" applyBorder="1" applyFont="1">
      <alignment vertical="bottom"/>
    </xf>
    <xf borderId="2" fillId="11" fontId="1" numFmtId="0" xfId="0" applyAlignment="1" applyBorder="1" applyFont="1">
      <alignment horizontal="center" vertical="bottom"/>
    </xf>
    <xf borderId="2" fillId="11" fontId="7" numFmtId="0" xfId="0" applyAlignment="1" applyBorder="1" applyFont="1">
      <alignment vertical="bottom"/>
    </xf>
    <xf borderId="2" fillId="11" fontId="6" numFmtId="0" xfId="0" applyBorder="1" applyFont="1"/>
    <xf borderId="1" fillId="7" fontId="1" numFmtId="0" xfId="0" applyAlignment="1" applyBorder="1" applyFont="1">
      <alignment horizontal="center"/>
    </xf>
    <xf borderId="1" fillId="12" fontId="1" numFmtId="0" xfId="0" applyAlignment="1" applyBorder="1" applyFill="1" applyFont="1">
      <alignment horizontal="center"/>
    </xf>
    <xf borderId="2" fillId="12" fontId="1" numFmtId="0" xfId="0" applyAlignment="1" applyBorder="1" applyFont="1">
      <alignment vertical="bottom"/>
    </xf>
    <xf borderId="2" fillId="12" fontId="1" numFmtId="0" xfId="0" applyAlignment="1" applyBorder="1" applyFont="1">
      <alignment horizontal="center" vertical="bottom"/>
    </xf>
    <xf borderId="1" fillId="13" fontId="1" numFmtId="0" xfId="0" applyAlignment="1" applyBorder="1" applyFill="1" applyFont="1">
      <alignment horizontal="center"/>
    </xf>
    <xf borderId="2" fillId="13" fontId="1" numFmtId="0" xfId="0" applyAlignment="1" applyBorder="1" applyFont="1">
      <alignment vertical="bottom"/>
    </xf>
    <xf borderId="2" fillId="13" fontId="1" numFmtId="0" xfId="0" applyAlignment="1" applyBorder="1" applyFont="1">
      <alignment horizontal="center" vertical="bottom"/>
    </xf>
    <xf borderId="1" fillId="14" fontId="1" numFmtId="0" xfId="0" applyAlignment="1" applyBorder="1" applyFill="1" applyFont="1">
      <alignment horizontal="center"/>
    </xf>
    <xf borderId="2" fillId="14" fontId="1" numFmtId="0" xfId="0" applyAlignment="1" applyBorder="1" applyFont="1">
      <alignment vertical="bottom"/>
    </xf>
    <xf borderId="2" fillId="14" fontId="1" numFmtId="0" xfId="0" applyAlignment="1" applyBorder="1" applyFont="1">
      <alignment horizontal="center" vertical="bottom"/>
    </xf>
    <xf borderId="2" fillId="14" fontId="1" numFmtId="0" xfId="0" applyAlignment="1" applyBorder="1" applyFont="1">
      <alignment readingOrder="0" vertical="bottom"/>
    </xf>
    <xf borderId="2" fillId="14" fontId="1" numFmtId="0" xfId="0" applyAlignment="1" applyBorder="1" applyFont="1">
      <alignment horizontal="center" readingOrder="0" vertical="bottom"/>
    </xf>
    <xf borderId="2" fillId="11" fontId="1" numFmtId="0" xfId="0" applyAlignment="1" applyBorder="1" applyFont="1">
      <alignment readingOrder="0" vertical="bottom"/>
    </xf>
    <xf borderId="2" fillId="11" fontId="1" numFmtId="0" xfId="0" applyAlignment="1" applyBorder="1" applyFont="1">
      <alignment horizontal="center" readingOrder="0" vertical="bottom"/>
    </xf>
    <xf borderId="1" fillId="15" fontId="1" numFmtId="0" xfId="0" applyAlignment="1" applyBorder="1" applyFill="1" applyFont="1">
      <alignment horizontal="center"/>
    </xf>
    <xf borderId="2" fillId="15" fontId="1" numFmtId="0" xfId="0" applyAlignment="1" applyBorder="1" applyFont="1">
      <alignment vertical="bottom"/>
    </xf>
    <xf borderId="2" fillId="15" fontId="1" numFmtId="0" xfId="0" applyAlignment="1" applyBorder="1" applyFont="1">
      <alignment horizontal="center" vertical="bottom"/>
    </xf>
    <xf borderId="1" fillId="16" fontId="1" numFmtId="0" xfId="0" applyAlignment="1" applyBorder="1" applyFill="1" applyFont="1">
      <alignment horizontal="center"/>
    </xf>
    <xf borderId="2" fillId="16" fontId="1" numFmtId="0" xfId="0" applyAlignment="1" applyBorder="1" applyFont="1">
      <alignment vertical="bottom"/>
    </xf>
    <xf borderId="2" fillId="16" fontId="1" numFmtId="0" xfId="0" applyAlignment="1" applyBorder="1" applyFont="1">
      <alignment horizontal="center" vertical="bottom"/>
    </xf>
    <xf borderId="2" fillId="16" fontId="1" numFmtId="0" xfId="0" applyAlignment="1" applyBorder="1" applyFont="1">
      <alignment readingOrder="0" vertical="bottom"/>
    </xf>
    <xf borderId="2" fillId="16" fontId="1" numFmtId="0" xfId="0" applyAlignment="1" applyBorder="1" applyFont="1">
      <alignment horizontal="center" readingOrder="0" vertical="bottom"/>
    </xf>
    <xf borderId="2" fillId="17" fontId="1" numFmtId="0" xfId="0" applyAlignment="1" applyBorder="1" applyFill="1" applyFont="1">
      <alignment horizontal="center"/>
    </xf>
    <xf borderId="2" fillId="17" fontId="1" numFmtId="0" xfId="0" applyAlignment="1" applyBorder="1" applyFont="1">
      <alignment vertical="bottom"/>
    </xf>
    <xf borderId="2" fillId="17" fontId="1" numFmtId="0" xfId="0" applyAlignment="1" applyBorder="1" applyFont="1">
      <alignment horizontal="center" vertical="bottom"/>
    </xf>
    <xf borderId="1" fillId="18" fontId="1" numFmtId="0" xfId="0" applyAlignment="1" applyBorder="1" applyFill="1" applyFont="1">
      <alignment horizontal="center"/>
    </xf>
    <xf borderId="2" fillId="18" fontId="1" numFmtId="0" xfId="0" applyAlignment="1" applyBorder="1" applyFont="1">
      <alignment vertical="bottom"/>
    </xf>
    <xf borderId="2" fillId="18" fontId="1" numFmtId="0" xfId="0" applyAlignment="1" applyBorder="1" applyFont="1">
      <alignment horizontal="center" vertical="bottom"/>
    </xf>
    <xf borderId="2" fillId="7" fontId="1" numFmtId="0" xfId="0" applyAlignment="1" applyBorder="1" applyFont="1">
      <alignment horizontal="center" vertical="bottom"/>
    </xf>
    <xf borderId="2" fillId="19" fontId="1" numFmtId="0" xfId="0" applyAlignment="1" applyBorder="1" applyFill="1" applyFont="1">
      <alignment horizontal="center"/>
    </xf>
    <xf borderId="2" fillId="19" fontId="1" numFmtId="0" xfId="0" applyAlignment="1" applyBorder="1" applyFont="1">
      <alignment vertical="bottom"/>
    </xf>
    <xf borderId="2" fillId="19" fontId="1" numFmtId="0" xfId="0" applyAlignment="1" applyBorder="1" applyFont="1">
      <alignment horizontal="center" vertical="bottom"/>
    </xf>
    <xf borderId="1" fillId="0" fontId="1" numFmtId="0" xfId="0" applyAlignment="1" applyBorder="1" applyFont="1">
      <alignment horizontal="center" readingOrder="0"/>
    </xf>
    <xf borderId="1" fillId="19" fontId="1" numFmtId="0" xfId="0" applyAlignment="1" applyBorder="1" applyFont="1">
      <alignment horizontal="center" readingOrder="0"/>
    </xf>
    <xf borderId="2" fillId="19" fontId="1" numFmtId="0" xfId="0" applyAlignment="1" applyBorder="1" applyFont="1">
      <alignment readingOrder="0" vertical="bottom"/>
    </xf>
    <xf borderId="2" fillId="19" fontId="1" numFmtId="0" xfId="0" applyAlignment="1" applyBorder="1" applyFont="1">
      <alignment horizontal="center" readingOrder="0" vertical="bottom"/>
    </xf>
    <xf borderId="1" fillId="20" fontId="1" numFmtId="0" xfId="0" applyAlignment="1" applyBorder="1" applyFill="1" applyFont="1">
      <alignment horizontal="center"/>
    </xf>
    <xf borderId="2" fillId="20" fontId="1" numFmtId="0" xfId="0" applyAlignment="1" applyBorder="1" applyFont="1">
      <alignment vertical="bottom"/>
    </xf>
    <xf borderId="2" fillId="20" fontId="1" numFmtId="0" xfId="0" applyAlignment="1" applyBorder="1" applyFont="1">
      <alignment horizontal="center" vertical="bottom"/>
    </xf>
    <xf borderId="1" fillId="21" fontId="1" numFmtId="0" xfId="0" applyAlignment="1" applyBorder="1" applyFill="1" applyFont="1">
      <alignment horizontal="center"/>
    </xf>
    <xf borderId="2" fillId="21" fontId="1" numFmtId="0" xfId="0" applyAlignment="1" applyBorder="1" applyFont="1">
      <alignment vertical="bottom"/>
    </xf>
    <xf borderId="2" fillId="21" fontId="1" numFmtId="0" xfId="0" applyAlignment="1" applyBorder="1" applyFont="1">
      <alignment horizontal="center" vertical="bottom"/>
    </xf>
    <xf borderId="1" fillId="2" fontId="1" numFmtId="0" xfId="0" applyAlignment="1" applyBorder="1" applyFont="1">
      <alignment horizontal="center"/>
    </xf>
    <xf borderId="2" fillId="2" fontId="1" numFmtId="0" xfId="0" applyAlignment="1" applyBorder="1" applyFont="1">
      <alignment vertical="bottom"/>
    </xf>
    <xf borderId="2" fillId="2" fontId="1" numFmtId="0" xfId="0" applyAlignment="1" applyBorder="1" applyFont="1">
      <alignment horizontal="center" vertical="bottom"/>
    </xf>
    <xf borderId="1" fillId="22" fontId="1" numFmtId="0" xfId="0" applyAlignment="1" applyBorder="1" applyFill="1" applyFont="1">
      <alignment horizontal="center"/>
    </xf>
    <xf borderId="2" fillId="22" fontId="1" numFmtId="0" xfId="0" applyAlignment="1" applyBorder="1" applyFont="1">
      <alignment vertical="bottom"/>
    </xf>
    <xf borderId="2" fillId="22" fontId="1" numFmtId="0" xfId="0" applyAlignment="1" applyBorder="1" applyFont="1">
      <alignment horizontal="center" vertical="bottom"/>
    </xf>
    <xf borderId="2" fillId="2" fontId="8" numFmtId="0" xfId="0" applyAlignment="1" applyBorder="1" applyFont="1">
      <alignment vertical="bottom"/>
    </xf>
    <xf borderId="2" fillId="2" fontId="9" numFmtId="0" xfId="0" applyAlignment="1" applyBorder="1" applyFont="1">
      <alignment vertical="bottom"/>
    </xf>
    <xf borderId="1" fillId="3" fontId="1" numFmtId="0" xfId="0" applyAlignment="1" applyBorder="1" applyFont="1">
      <alignment horizontal="center"/>
    </xf>
    <xf borderId="2" fillId="3" fontId="1" numFmtId="0" xfId="0" applyAlignment="1" applyBorder="1" applyFont="1">
      <alignment readingOrder="0" vertical="bottom"/>
    </xf>
    <xf borderId="2" fillId="3" fontId="1" numFmtId="0" xfId="0" applyAlignment="1" applyBorder="1" applyFont="1">
      <alignment horizontal="center" vertical="bottom"/>
    </xf>
    <xf borderId="1" fillId="23" fontId="1" numFmtId="0" xfId="0" applyAlignment="1" applyBorder="1" applyFill="1" applyFont="1">
      <alignment horizontal="center"/>
    </xf>
    <xf borderId="2" fillId="23" fontId="1" numFmtId="0" xfId="0" applyAlignment="1" applyBorder="1" applyFont="1">
      <alignment vertical="bottom"/>
    </xf>
    <xf borderId="2" fillId="23" fontId="1" numFmtId="0" xfId="0" applyAlignment="1" applyBorder="1" applyFont="1">
      <alignment horizontal="center" vertical="bottom"/>
    </xf>
    <xf borderId="1" fillId="5" fontId="1" numFmtId="0" xfId="0" applyAlignment="1" applyBorder="1" applyFont="1">
      <alignment horizontal="center"/>
    </xf>
    <xf borderId="2" fillId="5" fontId="1" numFmtId="0" xfId="0" applyAlignment="1" applyBorder="1" applyFont="1">
      <alignment vertical="bottom"/>
    </xf>
    <xf borderId="2" fillId="5" fontId="1" numFmtId="0" xfId="0" applyAlignment="1" applyBorder="1" applyFont="1">
      <alignment horizontal="center" vertical="bottom"/>
    </xf>
    <xf borderId="1" fillId="24" fontId="1" numFmtId="0" xfId="0" applyAlignment="1" applyBorder="1" applyFill="1" applyFont="1">
      <alignment horizontal="center"/>
    </xf>
    <xf borderId="2" fillId="24" fontId="1" numFmtId="0" xfId="0" applyAlignment="1" applyBorder="1" applyFont="1">
      <alignment vertical="bottom"/>
    </xf>
    <xf borderId="2" fillId="24" fontId="1" numFmtId="0" xfId="0" applyAlignment="1" applyBorder="1" applyFont="1">
      <alignment horizontal="center" vertical="bottom"/>
    </xf>
    <xf borderId="1" fillId="25" fontId="1" numFmtId="0" xfId="0" applyAlignment="1" applyBorder="1" applyFill="1" applyFont="1">
      <alignment horizontal="center"/>
    </xf>
    <xf borderId="2" fillId="25" fontId="1" numFmtId="0" xfId="0" applyAlignment="1" applyBorder="1" applyFont="1">
      <alignment vertical="bottom"/>
    </xf>
    <xf borderId="2" fillId="25" fontId="1" numFmtId="0" xfId="0" applyAlignment="1" applyBorder="1" applyFont="1">
      <alignment horizontal="center" vertical="bottom"/>
    </xf>
    <xf borderId="2" fillId="9" fontId="1" numFmtId="0" xfId="0" applyAlignment="1" applyBorder="1" applyFont="1">
      <alignment horizontal="center"/>
    </xf>
    <xf borderId="2" fillId="9" fontId="1" numFmtId="0" xfId="0" applyAlignment="1" applyBorder="1" applyFont="1">
      <alignment horizontal="center" vertical="bottom"/>
    </xf>
    <xf borderId="1" fillId="19" fontId="1" numFmtId="0" xfId="0" applyAlignment="1" applyBorder="1" applyFont="1">
      <alignment horizontal="center"/>
    </xf>
    <xf borderId="2" fillId="8" fontId="10" numFmtId="0" xfId="0" applyAlignment="1" applyBorder="1" applyFont="1">
      <alignment vertical="bottom"/>
    </xf>
    <xf borderId="1" fillId="26" fontId="1" numFmtId="0" xfId="0" applyAlignment="1" applyBorder="1" applyFill="1" applyFont="1">
      <alignment horizontal="center"/>
    </xf>
    <xf borderId="2" fillId="26" fontId="1" numFmtId="0" xfId="0" applyAlignment="1" applyBorder="1" applyFont="1">
      <alignment vertical="bottom"/>
    </xf>
    <xf borderId="2" fillId="26" fontId="1" numFmtId="0" xfId="0" applyAlignment="1" applyBorder="1" applyFont="1">
      <alignment horizontal="center" vertical="bottom"/>
    </xf>
    <xf borderId="2" fillId="26" fontId="6" numFmtId="0" xfId="0" applyAlignment="1" applyBorder="1" applyFont="1">
      <alignment vertical="bottom"/>
    </xf>
    <xf borderId="2" fillId="19" fontId="6" numFmtId="0" xfId="0" applyAlignment="1" applyBorder="1" applyFont="1">
      <alignment vertical="bottom"/>
    </xf>
    <xf borderId="1" fillId="10" fontId="1" numFmtId="0" xfId="0" applyAlignment="1" applyBorder="1" applyFont="1">
      <alignment horizontal="center"/>
    </xf>
    <xf borderId="2" fillId="10" fontId="1" numFmtId="0" xfId="0" applyAlignment="1" applyBorder="1" applyFont="1">
      <alignment horizontal="center" vertical="bottom"/>
    </xf>
    <xf borderId="2" fillId="10" fontId="1" numFmtId="0" xfId="0" applyAlignment="1" applyBorder="1" applyFont="1">
      <alignment vertical="bottom"/>
    </xf>
    <xf borderId="2" fillId="8" fontId="1" numFmtId="0" xfId="0" applyAlignment="1" applyBorder="1" applyFont="1">
      <alignment vertical="bottom"/>
    </xf>
    <xf borderId="2" fillId="8" fontId="6" numFmtId="0" xfId="0" applyBorder="1" applyFont="1"/>
    <xf borderId="2" fillId="27" fontId="1" numFmtId="0" xfId="0" applyBorder="1" applyFill="1" applyFont="1"/>
    <xf borderId="2" fillId="27" fontId="6" numFmtId="0" xfId="0" applyBorder="1" applyFont="1"/>
    <xf borderId="1" fillId="0" fontId="1" numFmtId="0" xfId="0" applyAlignment="1" applyBorder="1" applyFont="1">
      <alignment vertical="bottom"/>
    </xf>
    <xf borderId="2" fillId="27" fontId="1" numFmtId="0" xfId="0" applyAlignment="1" applyBorder="1" applyFont="1">
      <alignment vertical="bottom"/>
    </xf>
    <xf borderId="2" fillId="28" fontId="1" numFmtId="0" xfId="0" applyAlignment="1" applyBorder="1" applyFill="1" applyFont="1">
      <alignment vertical="bottom"/>
    </xf>
    <xf borderId="2" fillId="29" fontId="11" numFmtId="0" xfId="0" applyAlignment="1" applyBorder="1" applyFill="1" applyFont="1">
      <alignment horizontal="center" vertical="bottom"/>
    </xf>
    <xf borderId="2" fillId="0" fontId="11" numFmtId="0" xfId="0" applyAlignment="1" applyBorder="1" applyFont="1">
      <alignment horizontal="center" vertical="bottom"/>
    </xf>
    <xf borderId="2" fillId="26" fontId="1" numFmtId="0" xfId="0" applyAlignment="1" applyBorder="1" applyFont="1">
      <alignment horizontal="center" vertical="bottom"/>
    </xf>
    <xf borderId="2" fillId="0" fontId="1" numFmtId="0" xfId="0" applyAlignment="1" applyBorder="1" applyFont="1">
      <alignment horizontal="center" vertical="bottom"/>
    </xf>
    <xf borderId="2" fillId="26" fontId="1" numFmtId="4" xfId="0" applyAlignment="1" applyBorder="1" applyFont="1" applyNumberFormat="1">
      <alignment horizontal="center" shrinkToFit="0" vertical="bottom" wrapText="1"/>
    </xf>
    <xf borderId="2" fillId="26" fontId="1" numFmtId="0" xfId="0" applyAlignment="1" applyBorder="1" applyFont="1">
      <alignment vertical="bottom"/>
    </xf>
    <xf borderId="2" fillId="26" fontId="1" numFmtId="0" xfId="0" applyAlignment="1" applyBorder="1" applyFont="1">
      <alignment horizontal="center" shrinkToFit="0" vertical="bottom" wrapText="1"/>
    </xf>
    <xf borderId="2" fillId="30" fontId="1" numFmtId="0" xfId="0" applyAlignment="1" applyBorder="1" applyFill="1" applyFont="1">
      <alignment horizontal="center" vertical="bottom"/>
    </xf>
    <xf borderId="2" fillId="30" fontId="1" numFmtId="0" xfId="0" applyAlignment="1" applyBorder="1" applyFont="1">
      <alignment horizontal="right" vertical="bottom"/>
    </xf>
    <xf borderId="2" fillId="30" fontId="1" numFmtId="0" xfId="0" applyAlignment="1" applyBorder="1" applyFont="1">
      <alignment vertical="bottom"/>
    </xf>
    <xf borderId="2" fillId="30" fontId="1" numFmtId="0" xfId="0" applyAlignment="1" applyBorder="1" applyFont="1">
      <alignment horizontal="center" vertical="bottom"/>
    </xf>
    <xf borderId="2" fillId="30" fontId="1" numFmtId="0" xfId="0" applyAlignment="1" applyBorder="1" applyFont="1">
      <alignment horizontal="center" shrinkToFit="0" vertical="bottom" wrapText="1"/>
    </xf>
    <xf borderId="2" fillId="30" fontId="1" numFmtId="0" xfId="0" applyAlignment="1" applyBorder="1" applyFont="1">
      <alignment vertical="bottom"/>
    </xf>
    <xf borderId="2" fillId="30" fontId="1" numFmtId="1" xfId="0" applyAlignment="1" applyBorder="1" applyFont="1" applyNumberFormat="1">
      <alignment horizontal="center" vertical="bottom"/>
    </xf>
    <xf borderId="2" fillId="30" fontId="1" numFmtId="1" xfId="0" applyAlignment="1" applyBorder="1" applyFont="1" applyNumberFormat="1">
      <alignment vertical="bottom"/>
    </xf>
    <xf borderId="2" fillId="30" fontId="1" numFmtId="0" xfId="0" applyAlignment="1" applyBorder="1" applyFont="1">
      <alignment horizontal="center" shrinkToFit="0" vertical="bottom" wrapText="1"/>
    </xf>
    <xf borderId="2" fillId="30" fontId="1" numFmtId="1" xfId="0" applyAlignment="1" applyBorder="1" applyFont="1" applyNumberFormat="1">
      <alignment horizontal="center" vertical="bottom"/>
    </xf>
    <xf borderId="2" fillId="30" fontId="1" numFmtId="1" xfId="0" applyAlignment="1" applyBorder="1" applyFont="1" applyNumberFormat="1">
      <alignment vertical="bottom"/>
    </xf>
    <xf borderId="2" fillId="30" fontId="12" numFmtId="0" xfId="0" applyAlignment="1" applyBorder="1" applyFont="1">
      <alignment horizontal="center" shrinkToFit="0" vertical="bottom" wrapText="1"/>
    </xf>
    <xf borderId="2" fillId="30" fontId="13" numFmtId="0" xfId="0" applyAlignment="1" applyBorder="1" applyFont="1">
      <alignment horizontal="center" shrinkToFit="0" vertical="bottom" wrapText="1"/>
    </xf>
    <xf borderId="2" fillId="19" fontId="1" numFmtId="0" xfId="0" applyAlignment="1" applyBorder="1" applyFont="1">
      <alignment horizontal="right" vertical="bottom"/>
    </xf>
    <xf borderId="2" fillId="19" fontId="1" numFmtId="0" xfId="0" applyAlignment="1" applyBorder="1" applyFont="1">
      <alignment horizontal="center" shrinkToFit="0" vertical="bottom" wrapText="1"/>
    </xf>
    <xf borderId="2" fillId="19" fontId="1" numFmtId="1" xfId="0" applyAlignment="1" applyBorder="1" applyFont="1" applyNumberFormat="1">
      <alignment horizontal="center" vertical="bottom"/>
    </xf>
    <xf borderId="2" fillId="3" fontId="1" numFmtId="0" xfId="0" applyAlignment="1" applyBorder="1" applyFont="1">
      <alignment horizontal="right" vertical="bottom"/>
    </xf>
    <xf borderId="2" fillId="3" fontId="1" numFmtId="0" xfId="0" applyAlignment="1" applyBorder="1" applyFont="1">
      <alignment horizontal="center" shrinkToFit="0" vertical="bottom" wrapText="1"/>
    </xf>
    <xf borderId="2" fillId="3" fontId="1" numFmtId="1" xfId="0" applyAlignment="1" applyBorder="1" applyFont="1" applyNumberFormat="1">
      <alignment horizontal="center" vertical="bottom"/>
    </xf>
    <xf borderId="2" fillId="13" fontId="1" numFmtId="0" xfId="0" applyAlignment="1" applyBorder="1" applyFont="1">
      <alignment horizontal="right" vertical="bottom"/>
    </xf>
    <xf borderId="2" fillId="13" fontId="1" numFmtId="0" xfId="0" applyAlignment="1" applyBorder="1" applyFont="1">
      <alignment horizontal="center" vertical="bottom"/>
    </xf>
    <xf borderId="2" fillId="13" fontId="13" numFmtId="0" xfId="0" applyAlignment="1" applyBorder="1" applyFont="1">
      <alignment horizontal="center" shrinkToFit="0" vertical="bottom" wrapText="1"/>
    </xf>
    <xf borderId="2" fillId="13" fontId="1" numFmtId="0" xfId="0" applyAlignment="1" applyBorder="1" applyFont="1">
      <alignment vertical="bottom"/>
    </xf>
    <xf borderId="2" fillId="13" fontId="1" numFmtId="0" xfId="0" applyAlignment="1" applyBorder="1" applyFont="1">
      <alignment horizontal="center" shrinkToFit="0" vertical="bottom" wrapText="1"/>
    </xf>
    <xf borderId="2" fillId="13" fontId="1" numFmtId="1" xfId="0" applyAlignment="1" applyBorder="1" applyFont="1" applyNumberFormat="1">
      <alignment horizontal="center" vertical="bottom"/>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E7F9EF"/>
          <bgColor rgb="FFE7F9EF"/>
        </patternFill>
      </fill>
      <border/>
    </dxf>
    <dxf>
      <font/>
      <fill>
        <patternFill patternType="solid">
          <fgColor rgb="FF4DD0E1"/>
          <bgColor rgb="FF4DD0E1"/>
        </patternFill>
      </fill>
      <border/>
    </dxf>
  </dxfs>
  <tableStyles count="5">
    <tableStyle count="2" pivot="0" name="รหัสชา-style">
      <tableStyleElement dxfId="1" type="firstRowStripe"/>
      <tableStyleElement dxfId="2" type="secondRowStripe"/>
    </tableStyle>
    <tableStyle count="2" pivot="0" name="รหัสชา-style 2">
      <tableStyleElement dxfId="1" type="firstRowStripe"/>
      <tableStyleElement dxfId="2" type="secondRowStripe"/>
    </tableStyle>
    <tableStyle count="2" pivot="0" name="ตัวเลือก-style">
      <tableStyleElement dxfId="1" type="firstRowStripe"/>
      <tableStyleElement dxfId="3" type="secondRowStripe"/>
    </tableStyle>
    <tableStyle count="3" pivot="0" name="Classic-style">
      <tableStyleElement dxfId="4" type="headerRow"/>
      <tableStyleElement dxfId="1" type="firstRowStripe"/>
      <tableStyleElement dxfId="2" type="secondRowStripe"/>
    </tableStyle>
    <tableStyle count="3" pivot="0" name="Classic-style 2">
      <tableStyleElement dxfId="4"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C38" displayName="Table_1" name="Table_1" id="1">
  <tableColumns count="2">
    <tableColumn name="Column1" id="1"/>
    <tableColumn name="Column2" id="2"/>
  </tableColumns>
  <tableStyleInfo name="รหัสชา-style" showColumnStripes="0" showFirstColumn="1" showLastColumn="1" showRowStripes="1"/>
</table>
</file>

<file path=xl/tables/table2.xml><?xml version="1.0" encoding="utf-8"?>
<table xmlns="http://schemas.openxmlformats.org/spreadsheetml/2006/main" headerRowCount="0" ref="B43:C47" displayName="Table_2" name="Table_2" id="2">
  <tableColumns count="2">
    <tableColumn name="Column1" id="1"/>
    <tableColumn name="Column2" id="2"/>
  </tableColumns>
  <tableStyleInfo name="รหัสชา-style 2" showColumnStripes="0" showFirstColumn="1" showLastColumn="1" showRowStripes="1"/>
</table>
</file>

<file path=xl/tables/table3.xml><?xml version="1.0" encoding="utf-8"?>
<table xmlns="http://schemas.openxmlformats.org/spreadsheetml/2006/main" headerRowCount="0" ref="E263:E279" displayName="Table_3" name="Table_3" id="3">
  <tableColumns count="1">
    <tableColumn name="Column1" id="1"/>
  </tableColumns>
  <tableStyleInfo name="ตัวเลือก-style" showColumnStripes="0" showFirstColumn="1" showLastColumn="1" showRowStripes="1"/>
</table>
</file>

<file path=xl/tables/table4.xml><?xml version="1.0" encoding="utf-8"?>
<table xmlns="http://schemas.openxmlformats.org/spreadsheetml/2006/main" ref="D1:I33" displayName="Table_4" name="Table_4" id="4">
  <tableColumns count="6">
    <tableColumn name="ชื่อชา" id="1"/>
    <tableColumn name="Grade" id="2"/>
    <tableColumn name="คำอธิบาย / รายละเอียด" id="3"/>
    <tableColumn name="ราคา Clear" id="4"/>
    <tableColumn name="ราคา latte" id="5"/>
    <tableColumn name="หมวดหมู่" id="6"/>
  </tableColumns>
  <tableStyleInfo name="Classic-style" showColumnStripes="0" showFirstColumn="1" showLastColumn="1" showRowStripes="1"/>
</table>
</file>

<file path=xl/tables/table5.xml><?xml version="1.0" encoding="utf-8"?>
<table xmlns="http://schemas.openxmlformats.org/spreadsheetml/2006/main" headerRowCount="0" ref="D66:I75" displayName="Table_5" name="Table_5" id="5">
  <tableColumns count="6">
    <tableColumn name="Column1" id="1"/>
    <tableColumn name="Column2" id="2"/>
    <tableColumn name="Column3" id="3"/>
    <tableColumn name="Column4" id="4"/>
    <tableColumn name="Column5" id="5"/>
    <tableColumn name="Column6" id="6"/>
  </tableColumns>
  <tableStyleInfo name="Classic-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4.x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37.13"/>
    <col customWidth="1" min="3" max="3" width="35.75"/>
  </cols>
  <sheetData>
    <row r="1">
      <c r="A1" s="1" t="s">
        <v>0</v>
      </c>
      <c r="B1" s="2" t="s">
        <v>1</v>
      </c>
      <c r="C1" s="2" t="s">
        <v>2</v>
      </c>
    </row>
    <row r="2">
      <c r="A2" s="3"/>
      <c r="B2" s="4" t="s">
        <v>3</v>
      </c>
      <c r="C2" s="4" t="s">
        <v>4</v>
      </c>
    </row>
    <row r="3">
      <c r="A3" s="3"/>
      <c r="B3" s="4" t="s">
        <v>5</v>
      </c>
      <c r="C3" s="4" t="s">
        <v>6</v>
      </c>
    </row>
    <row r="4">
      <c r="A4" s="3"/>
      <c r="B4" s="4" t="s">
        <v>7</v>
      </c>
      <c r="C4" s="4" t="s">
        <v>8</v>
      </c>
    </row>
    <row r="5">
      <c r="A5" s="3"/>
      <c r="B5" s="4" t="s">
        <v>9</v>
      </c>
      <c r="C5" s="4" t="s">
        <v>10</v>
      </c>
    </row>
    <row r="6">
      <c r="A6" s="3"/>
      <c r="B6" s="4" t="s">
        <v>11</v>
      </c>
      <c r="C6" s="4" t="s">
        <v>12</v>
      </c>
    </row>
    <row r="7">
      <c r="A7" s="3"/>
      <c r="B7" s="4" t="s">
        <v>13</v>
      </c>
      <c r="C7" s="4" t="s">
        <v>14</v>
      </c>
    </row>
    <row r="8">
      <c r="A8" s="3"/>
      <c r="B8" s="4" t="s">
        <v>15</v>
      </c>
      <c r="C8" s="4" t="s">
        <v>16</v>
      </c>
    </row>
    <row r="9">
      <c r="A9" s="3"/>
      <c r="B9" s="4" t="s">
        <v>17</v>
      </c>
      <c r="C9" s="4" t="s">
        <v>18</v>
      </c>
    </row>
    <row r="10">
      <c r="A10" s="3"/>
      <c r="B10" s="4" t="s">
        <v>19</v>
      </c>
      <c r="C10" s="4" t="s">
        <v>20</v>
      </c>
    </row>
    <row r="11">
      <c r="A11" s="3"/>
      <c r="B11" s="4" t="s">
        <v>21</v>
      </c>
      <c r="C11" s="4" t="s">
        <v>22</v>
      </c>
    </row>
    <row r="12">
      <c r="A12" s="3"/>
      <c r="B12" s="4" t="s">
        <v>23</v>
      </c>
      <c r="C12" s="4" t="s">
        <v>24</v>
      </c>
    </row>
    <row r="13">
      <c r="A13" s="3"/>
      <c r="B13" s="4" t="s">
        <v>25</v>
      </c>
      <c r="C13" s="4" t="s">
        <v>26</v>
      </c>
    </row>
    <row r="14">
      <c r="A14" s="3"/>
      <c r="B14" s="4" t="s">
        <v>27</v>
      </c>
      <c r="C14" s="4" t="s">
        <v>28</v>
      </c>
    </row>
    <row r="15">
      <c r="A15" s="3"/>
      <c r="B15" s="4" t="s">
        <v>29</v>
      </c>
      <c r="C15" s="4" t="s">
        <v>30</v>
      </c>
    </row>
    <row r="16">
      <c r="A16" s="3"/>
      <c r="B16" s="4" t="s">
        <v>31</v>
      </c>
      <c r="C16" s="4" t="s">
        <v>32</v>
      </c>
    </row>
    <row r="17">
      <c r="A17" s="3"/>
      <c r="B17" s="4" t="s">
        <v>33</v>
      </c>
      <c r="C17" s="4" t="s">
        <v>34</v>
      </c>
    </row>
    <row r="18">
      <c r="A18" s="3"/>
      <c r="B18" s="5" t="s">
        <v>35</v>
      </c>
      <c r="C18" s="5" t="s">
        <v>36</v>
      </c>
    </row>
    <row r="19">
      <c r="A19" s="3"/>
      <c r="B19" s="5" t="s">
        <v>37</v>
      </c>
      <c r="C19" s="5" t="s">
        <v>38</v>
      </c>
    </row>
    <row r="20">
      <c r="A20" s="3"/>
      <c r="B20" s="4" t="s">
        <v>39</v>
      </c>
      <c r="C20" s="4" t="s">
        <v>40</v>
      </c>
    </row>
    <row r="21">
      <c r="A21" s="3"/>
      <c r="B21" s="4" t="s">
        <v>41</v>
      </c>
      <c r="C21" s="4" t="s">
        <v>42</v>
      </c>
    </row>
    <row r="22">
      <c r="A22" s="3"/>
      <c r="B22" s="4" t="s">
        <v>43</v>
      </c>
      <c r="C22" s="4" t="s">
        <v>44</v>
      </c>
    </row>
    <row r="23">
      <c r="A23" s="3"/>
      <c r="B23" s="4" t="s">
        <v>45</v>
      </c>
      <c r="C23" s="4" t="s">
        <v>46</v>
      </c>
    </row>
    <row r="24">
      <c r="A24" s="3"/>
      <c r="B24" s="4" t="s">
        <v>47</v>
      </c>
      <c r="C24" s="4" t="s">
        <v>48</v>
      </c>
    </row>
    <row r="25">
      <c r="A25" s="3"/>
      <c r="B25" s="4" t="s">
        <v>49</v>
      </c>
      <c r="C25" s="4" t="s">
        <v>50</v>
      </c>
    </row>
    <row r="26">
      <c r="A26" s="3"/>
      <c r="B26" s="4" t="s">
        <v>51</v>
      </c>
      <c r="C26" s="4" t="s">
        <v>52</v>
      </c>
    </row>
    <row r="27">
      <c r="A27" s="3"/>
      <c r="B27" s="4" t="s">
        <v>53</v>
      </c>
      <c r="C27" s="4" t="s">
        <v>54</v>
      </c>
    </row>
    <row r="28">
      <c r="A28" s="3"/>
      <c r="B28" s="4" t="s">
        <v>55</v>
      </c>
      <c r="C28" s="4" t="s">
        <v>56</v>
      </c>
    </row>
    <row r="29">
      <c r="A29" s="3"/>
      <c r="B29" s="4" t="s">
        <v>57</v>
      </c>
      <c r="C29" s="4" t="s">
        <v>58</v>
      </c>
    </row>
    <row r="30">
      <c r="A30" s="3"/>
      <c r="B30" s="6" t="s">
        <v>59</v>
      </c>
      <c r="C30" s="7" t="s">
        <v>60</v>
      </c>
    </row>
    <row r="31">
      <c r="A31" s="3"/>
      <c r="B31" s="6" t="s">
        <v>61</v>
      </c>
      <c r="C31" s="7" t="s">
        <v>62</v>
      </c>
    </row>
    <row r="32">
      <c r="A32" s="3"/>
      <c r="B32" s="6" t="s">
        <v>63</v>
      </c>
      <c r="C32" s="7" t="s">
        <v>64</v>
      </c>
    </row>
    <row r="33">
      <c r="A33" s="3"/>
      <c r="B33" s="4" t="s">
        <v>65</v>
      </c>
      <c r="C33" s="7" t="s">
        <v>66</v>
      </c>
    </row>
    <row r="34">
      <c r="A34" s="3"/>
      <c r="B34" s="7" t="s">
        <v>67</v>
      </c>
      <c r="C34" s="7" t="s">
        <v>68</v>
      </c>
    </row>
    <row r="35">
      <c r="A35" s="3"/>
      <c r="B35" s="4" t="s">
        <v>69</v>
      </c>
      <c r="C35" s="7" t="s">
        <v>70</v>
      </c>
    </row>
    <row r="36">
      <c r="A36" s="3"/>
      <c r="B36" s="7" t="s">
        <v>71</v>
      </c>
      <c r="C36" s="7" t="s">
        <v>72</v>
      </c>
    </row>
    <row r="37">
      <c r="A37" s="3"/>
      <c r="B37" s="7" t="s">
        <v>73</v>
      </c>
      <c r="C37" s="7" t="s">
        <v>74</v>
      </c>
    </row>
    <row r="38">
      <c r="A38" s="3"/>
      <c r="B38" s="7" t="s">
        <v>75</v>
      </c>
      <c r="C38" s="7" t="s">
        <v>76</v>
      </c>
    </row>
    <row r="39">
      <c r="A39" s="8"/>
      <c r="B39" s="8"/>
      <c r="C39" s="8"/>
    </row>
    <row r="40">
      <c r="A40" s="8"/>
      <c r="B40" s="8"/>
      <c r="C40" s="8"/>
    </row>
    <row r="41">
      <c r="A41" s="9" t="s">
        <v>77</v>
      </c>
      <c r="B41" s="10" t="s">
        <v>1</v>
      </c>
      <c r="C41" s="10" t="s">
        <v>2</v>
      </c>
    </row>
    <row r="42">
      <c r="A42" s="3"/>
      <c r="B42" s="10" t="s">
        <v>78</v>
      </c>
      <c r="C42" s="10" t="s">
        <v>79</v>
      </c>
    </row>
    <row r="43">
      <c r="A43" s="3"/>
      <c r="B43" s="11" t="s">
        <v>80</v>
      </c>
      <c r="C43" s="11" t="s">
        <v>81</v>
      </c>
    </row>
    <row r="44">
      <c r="A44" s="3"/>
      <c r="B44" s="11" t="s">
        <v>82</v>
      </c>
      <c r="C44" s="11" t="s">
        <v>83</v>
      </c>
    </row>
    <row r="45">
      <c r="A45" s="3"/>
      <c r="B45" s="11" t="s">
        <v>84</v>
      </c>
      <c r="C45" s="11" t="s">
        <v>85</v>
      </c>
    </row>
    <row r="46">
      <c r="A46" s="3"/>
      <c r="B46" s="11" t="s">
        <v>86</v>
      </c>
      <c r="C46" s="11" t="s">
        <v>87</v>
      </c>
    </row>
    <row r="47">
      <c r="A47" s="12"/>
      <c r="B47" s="11" t="s">
        <v>88</v>
      </c>
      <c r="C47" s="11" t="s">
        <v>89</v>
      </c>
    </row>
    <row r="48">
      <c r="A48" s="8"/>
      <c r="B48" s="8"/>
      <c r="C48" s="8"/>
    </row>
    <row r="49">
      <c r="A49" s="1" t="s">
        <v>90</v>
      </c>
      <c r="B49" s="2" t="s">
        <v>1</v>
      </c>
      <c r="C49" s="2" t="s">
        <v>2</v>
      </c>
    </row>
    <row r="50">
      <c r="A50" s="12"/>
      <c r="B50" s="13" t="s">
        <v>91</v>
      </c>
      <c r="C50" s="13" t="s">
        <v>92</v>
      </c>
    </row>
    <row r="51">
      <c r="A51" s="8"/>
      <c r="B51" s="8"/>
      <c r="C51" s="8"/>
    </row>
    <row r="52">
      <c r="A52" s="14" t="s">
        <v>93</v>
      </c>
      <c r="B52" s="15" t="s">
        <v>1</v>
      </c>
      <c r="C52" s="15" t="s">
        <v>2</v>
      </c>
    </row>
    <row r="53">
      <c r="A53" s="12"/>
      <c r="B53" s="16" t="s">
        <v>94</v>
      </c>
      <c r="C53" s="16" t="s">
        <v>95</v>
      </c>
    </row>
  </sheetData>
  <mergeCells count="4">
    <mergeCell ref="A1:A38"/>
    <mergeCell ref="A41:A47"/>
    <mergeCell ref="A49:A50"/>
    <mergeCell ref="A52:A53"/>
  </mergeCell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15.5"/>
    <col customWidth="1" min="3" max="3" width="48.88"/>
    <col customWidth="1" min="6" max="6" width="120.25"/>
  </cols>
  <sheetData>
    <row r="1">
      <c r="A1" s="17" t="s">
        <v>96</v>
      </c>
      <c r="B1" s="17" t="s">
        <v>97</v>
      </c>
      <c r="C1" s="17" t="s">
        <v>98</v>
      </c>
      <c r="D1" s="18" t="s">
        <v>99</v>
      </c>
      <c r="E1" s="17" t="s">
        <v>100</v>
      </c>
      <c r="F1" s="17"/>
      <c r="G1" s="19" t="s">
        <v>101</v>
      </c>
      <c r="H1" s="17" t="s">
        <v>102</v>
      </c>
    </row>
    <row r="2">
      <c r="A2" s="20" t="s">
        <v>103</v>
      </c>
      <c r="B2" s="21" t="s">
        <v>104</v>
      </c>
      <c r="C2" s="21" t="s">
        <v>105</v>
      </c>
      <c r="D2" s="19">
        <v>315.0</v>
      </c>
      <c r="E2" s="19">
        <v>390.0</v>
      </c>
      <c r="F2" s="17" t="s">
        <v>106</v>
      </c>
      <c r="G2" s="22" t="s">
        <v>107</v>
      </c>
      <c r="H2" s="17" t="s">
        <v>108</v>
      </c>
    </row>
    <row r="3">
      <c r="A3" s="3"/>
      <c r="B3" s="21" t="s">
        <v>109</v>
      </c>
      <c r="C3" s="21" t="s">
        <v>110</v>
      </c>
      <c r="D3" s="23">
        <v>304.0</v>
      </c>
      <c r="E3" s="19">
        <v>325.0</v>
      </c>
      <c r="F3" s="17" t="s">
        <v>111</v>
      </c>
      <c r="G3" s="3"/>
      <c r="H3" s="17"/>
    </row>
    <row r="4">
      <c r="A4" s="3"/>
      <c r="B4" s="21" t="s">
        <v>112</v>
      </c>
      <c r="C4" s="21" t="s">
        <v>113</v>
      </c>
      <c r="D4" s="19">
        <v>210.0</v>
      </c>
      <c r="E4" s="19">
        <v>229.0</v>
      </c>
      <c r="F4" s="17" t="s">
        <v>114</v>
      </c>
      <c r="G4" s="3"/>
      <c r="H4" s="17"/>
    </row>
    <row r="5">
      <c r="A5" s="3"/>
      <c r="B5" s="21" t="s">
        <v>115</v>
      </c>
      <c r="C5" s="21" t="s">
        <v>116</v>
      </c>
      <c r="D5" s="19">
        <v>235.0</v>
      </c>
      <c r="E5" s="19">
        <v>255.0</v>
      </c>
      <c r="F5" s="21" t="s">
        <v>117</v>
      </c>
      <c r="G5" s="3"/>
      <c r="H5" s="17"/>
    </row>
    <row r="6">
      <c r="A6" s="3"/>
      <c r="B6" s="21" t="s">
        <v>118</v>
      </c>
      <c r="C6" s="21" t="s">
        <v>119</v>
      </c>
      <c r="D6" s="19">
        <v>201.0</v>
      </c>
      <c r="E6" s="19">
        <v>219.0</v>
      </c>
      <c r="F6" s="17" t="s">
        <v>120</v>
      </c>
      <c r="G6" s="3"/>
      <c r="H6" s="17"/>
    </row>
    <row r="7">
      <c r="A7" s="3"/>
      <c r="B7" s="21" t="s">
        <v>121</v>
      </c>
      <c r="C7" s="21" t="s">
        <v>122</v>
      </c>
      <c r="D7" s="19">
        <v>130.0</v>
      </c>
      <c r="E7" s="19">
        <v>150.0</v>
      </c>
      <c r="F7" s="21" t="s">
        <v>123</v>
      </c>
      <c r="G7" s="3"/>
      <c r="H7" s="17" t="s">
        <v>124</v>
      </c>
    </row>
    <row r="8">
      <c r="A8" s="3"/>
      <c r="B8" s="21" t="s">
        <v>125</v>
      </c>
      <c r="C8" s="21" t="s">
        <v>126</v>
      </c>
      <c r="D8" s="19">
        <v>180.0</v>
      </c>
      <c r="E8" s="19">
        <v>199.0</v>
      </c>
      <c r="F8" s="21" t="s">
        <v>127</v>
      </c>
      <c r="G8" s="3"/>
      <c r="H8" s="17" t="s">
        <v>128</v>
      </c>
    </row>
    <row r="9">
      <c r="A9" s="3"/>
      <c r="B9" s="21" t="s">
        <v>129</v>
      </c>
      <c r="C9" s="21" t="s">
        <v>130</v>
      </c>
      <c r="D9" s="19">
        <v>180.0</v>
      </c>
      <c r="E9" s="19">
        <v>199.0</v>
      </c>
      <c r="F9" s="21" t="s">
        <v>131</v>
      </c>
      <c r="G9" s="3"/>
      <c r="H9" s="17"/>
    </row>
    <row r="10">
      <c r="A10" s="3"/>
      <c r="B10" s="21" t="s">
        <v>132</v>
      </c>
      <c r="C10" s="21" t="s">
        <v>133</v>
      </c>
      <c r="D10" s="19">
        <v>115.0</v>
      </c>
      <c r="E10" s="19">
        <v>135.0</v>
      </c>
      <c r="F10" s="21" t="s">
        <v>134</v>
      </c>
      <c r="G10" s="3"/>
      <c r="H10" s="17"/>
    </row>
    <row r="11">
      <c r="A11" s="3"/>
      <c r="B11" s="21" t="s">
        <v>135</v>
      </c>
      <c r="C11" s="21" t="s">
        <v>136</v>
      </c>
      <c r="D11" s="19">
        <v>105.0</v>
      </c>
      <c r="E11" s="19">
        <v>125.0</v>
      </c>
      <c r="F11" s="21" t="s">
        <v>137</v>
      </c>
      <c r="G11" s="3"/>
      <c r="H11" s="17" t="s">
        <v>138</v>
      </c>
    </row>
    <row r="12">
      <c r="A12" s="3"/>
      <c r="B12" s="21" t="s">
        <v>115</v>
      </c>
      <c r="C12" s="21" t="s">
        <v>139</v>
      </c>
      <c r="D12" s="19">
        <v>145.0</v>
      </c>
      <c r="E12" s="19">
        <v>159.0</v>
      </c>
      <c r="F12" s="21" t="s">
        <v>117</v>
      </c>
      <c r="G12" s="3"/>
      <c r="H12" s="17"/>
    </row>
    <row r="13">
      <c r="A13" s="3"/>
      <c r="B13" s="21" t="s">
        <v>140</v>
      </c>
      <c r="C13" s="21" t="s">
        <v>141</v>
      </c>
      <c r="D13" s="19">
        <v>145.0</v>
      </c>
      <c r="E13" s="19">
        <v>165.0</v>
      </c>
      <c r="F13" s="21" t="s">
        <v>142</v>
      </c>
      <c r="G13" s="3"/>
      <c r="H13" s="17"/>
    </row>
    <row r="14">
      <c r="A14" s="3"/>
      <c r="B14" s="21" t="s">
        <v>143</v>
      </c>
      <c r="C14" s="21" t="s">
        <v>144</v>
      </c>
      <c r="D14" s="19">
        <v>105.0</v>
      </c>
      <c r="E14" s="19">
        <v>125.0</v>
      </c>
      <c r="F14" s="21" t="s">
        <v>145</v>
      </c>
      <c r="G14" s="3"/>
      <c r="H14" s="17"/>
    </row>
    <row r="15">
      <c r="A15" s="3"/>
      <c r="B15" s="21" t="s">
        <v>146</v>
      </c>
      <c r="C15" s="21" t="s">
        <v>147</v>
      </c>
      <c r="D15" s="19">
        <v>80.0</v>
      </c>
      <c r="E15" s="19">
        <v>99.0</v>
      </c>
      <c r="F15" s="21" t="s">
        <v>148</v>
      </c>
      <c r="G15" s="3"/>
      <c r="H15" s="17"/>
    </row>
    <row r="16">
      <c r="A16" s="3"/>
      <c r="B16" s="21" t="s">
        <v>149</v>
      </c>
      <c r="C16" s="21" t="s">
        <v>150</v>
      </c>
      <c r="D16" s="19">
        <v>95.0</v>
      </c>
      <c r="E16" s="19">
        <v>115.0</v>
      </c>
      <c r="F16" s="21" t="s">
        <v>151</v>
      </c>
      <c r="G16" s="3"/>
      <c r="H16" s="17"/>
    </row>
    <row r="17">
      <c r="A17" s="3"/>
      <c r="B17" s="21" t="s">
        <v>152</v>
      </c>
      <c r="C17" s="21" t="s">
        <v>153</v>
      </c>
      <c r="D17" s="19">
        <v>95.0</v>
      </c>
      <c r="E17" s="19">
        <v>115.0</v>
      </c>
      <c r="F17" s="21" t="s">
        <v>154</v>
      </c>
      <c r="G17" s="3"/>
      <c r="H17" s="17"/>
    </row>
    <row r="18">
      <c r="A18" s="3"/>
      <c r="B18" s="21" t="s">
        <v>155</v>
      </c>
      <c r="C18" s="21" t="s">
        <v>156</v>
      </c>
      <c r="D18" s="19">
        <v>99.0</v>
      </c>
      <c r="E18" s="19">
        <v>119.0</v>
      </c>
      <c r="F18" s="21" t="s">
        <v>157</v>
      </c>
      <c r="G18" s="3"/>
      <c r="H18" s="17"/>
    </row>
    <row r="19">
      <c r="A19" s="3"/>
      <c r="B19" s="21" t="s">
        <v>158</v>
      </c>
      <c r="C19" s="21" t="s">
        <v>159</v>
      </c>
      <c r="D19" s="19">
        <v>100.0</v>
      </c>
      <c r="E19" s="19">
        <v>120.0</v>
      </c>
      <c r="F19" s="21" t="s">
        <v>160</v>
      </c>
      <c r="G19" s="3"/>
      <c r="H19" s="17"/>
    </row>
    <row r="20">
      <c r="A20" s="3"/>
      <c r="B20" s="21" t="s">
        <v>161</v>
      </c>
      <c r="C20" s="21" t="s">
        <v>162</v>
      </c>
      <c r="D20" s="19">
        <v>69.0</v>
      </c>
      <c r="E20" s="19">
        <v>89.0</v>
      </c>
      <c r="F20" s="21" t="s">
        <v>163</v>
      </c>
      <c r="G20" s="3"/>
      <c r="H20" s="17"/>
    </row>
    <row r="21">
      <c r="A21" s="3"/>
      <c r="B21" s="21" t="s">
        <v>164</v>
      </c>
      <c r="C21" s="24" t="s">
        <v>165</v>
      </c>
      <c r="D21" s="23">
        <v>79.0</v>
      </c>
      <c r="E21" s="23">
        <v>99.0</v>
      </c>
      <c r="F21" s="24" t="s">
        <v>166</v>
      </c>
      <c r="G21" s="3"/>
      <c r="H21" s="17"/>
    </row>
    <row r="22">
      <c r="A22" s="3"/>
      <c r="B22" s="21" t="s">
        <v>167</v>
      </c>
      <c r="C22" s="24" t="s">
        <v>168</v>
      </c>
      <c r="D22" s="23">
        <v>79.0</v>
      </c>
      <c r="E22" s="23">
        <v>99.0</v>
      </c>
      <c r="F22" s="24" t="s">
        <v>169</v>
      </c>
      <c r="G22" s="3"/>
      <c r="H22" s="17"/>
    </row>
    <row r="23">
      <c r="A23" s="3"/>
      <c r="B23" s="21" t="s">
        <v>170</v>
      </c>
      <c r="C23" s="24" t="s">
        <v>171</v>
      </c>
      <c r="D23" s="23">
        <v>79.0</v>
      </c>
      <c r="E23" s="23">
        <v>99.0</v>
      </c>
      <c r="F23" s="24" t="s">
        <v>172</v>
      </c>
      <c r="G23" s="3"/>
      <c r="H23" s="17"/>
    </row>
    <row r="24">
      <c r="A24" s="3"/>
      <c r="B24" s="21" t="s">
        <v>173</v>
      </c>
      <c r="C24" s="24" t="s">
        <v>174</v>
      </c>
      <c r="D24" s="23">
        <v>69.0</v>
      </c>
      <c r="E24" s="23">
        <v>89.0</v>
      </c>
      <c r="F24" s="24" t="s">
        <v>175</v>
      </c>
      <c r="G24" s="12"/>
      <c r="H24" s="17"/>
    </row>
    <row r="25">
      <c r="A25" s="3"/>
      <c r="B25" s="21" t="s">
        <v>176</v>
      </c>
      <c r="C25" s="21" t="s">
        <v>177</v>
      </c>
      <c r="D25" s="19">
        <v>445.0</v>
      </c>
      <c r="E25" s="19">
        <v>465.0</v>
      </c>
      <c r="F25" s="21" t="s">
        <v>178</v>
      </c>
      <c r="G25" s="22" t="s">
        <v>179</v>
      </c>
      <c r="H25" s="17"/>
    </row>
    <row r="26">
      <c r="A26" s="3"/>
      <c r="B26" s="21" t="s">
        <v>180</v>
      </c>
      <c r="C26" s="21" t="s">
        <v>181</v>
      </c>
      <c r="D26" s="19">
        <v>340.0</v>
      </c>
      <c r="E26" s="19">
        <v>360.0</v>
      </c>
      <c r="F26" s="17" t="s">
        <v>117</v>
      </c>
      <c r="G26" s="3"/>
      <c r="H26" s="17" t="s">
        <v>182</v>
      </c>
    </row>
    <row r="27">
      <c r="A27" s="3"/>
      <c r="B27" s="21" t="s">
        <v>183</v>
      </c>
      <c r="C27" s="21" t="s">
        <v>184</v>
      </c>
      <c r="D27" s="19">
        <v>205.0</v>
      </c>
      <c r="E27" s="19">
        <v>225.0</v>
      </c>
      <c r="F27" s="17" t="s">
        <v>142</v>
      </c>
      <c r="G27" s="3"/>
      <c r="H27" s="17" t="s">
        <v>185</v>
      </c>
    </row>
    <row r="28">
      <c r="A28" s="3"/>
      <c r="B28" s="21" t="s">
        <v>186</v>
      </c>
      <c r="C28" s="21" t="s">
        <v>187</v>
      </c>
      <c r="D28" s="19">
        <v>165.0</v>
      </c>
      <c r="E28" s="19">
        <v>185.0</v>
      </c>
      <c r="F28" s="17" t="s">
        <v>188</v>
      </c>
      <c r="G28" s="3"/>
      <c r="H28" s="17"/>
    </row>
    <row r="29">
      <c r="A29" s="3"/>
      <c r="B29" s="21" t="s">
        <v>189</v>
      </c>
      <c r="C29" s="21" t="s">
        <v>190</v>
      </c>
      <c r="D29" s="19">
        <v>145.0</v>
      </c>
      <c r="E29" s="19">
        <v>165.0</v>
      </c>
      <c r="F29" s="17" t="s">
        <v>191</v>
      </c>
      <c r="G29" s="3"/>
      <c r="H29" s="17" t="s">
        <v>192</v>
      </c>
    </row>
    <row r="30">
      <c r="A30" s="3"/>
      <c r="B30" s="21" t="s">
        <v>193</v>
      </c>
      <c r="C30" s="21" t="s">
        <v>194</v>
      </c>
      <c r="D30" s="19">
        <v>145.0</v>
      </c>
      <c r="E30" s="19">
        <v>159.0</v>
      </c>
      <c r="F30" s="17" t="s">
        <v>191</v>
      </c>
      <c r="G30" s="3"/>
      <c r="H30" s="17" t="s">
        <v>195</v>
      </c>
    </row>
    <row r="31">
      <c r="A31" s="3"/>
      <c r="B31" s="21" t="s">
        <v>196</v>
      </c>
      <c r="C31" s="21" t="s">
        <v>197</v>
      </c>
      <c r="D31" s="19">
        <v>195.0</v>
      </c>
      <c r="E31" s="19">
        <v>215.0</v>
      </c>
      <c r="F31" s="17" t="s">
        <v>123</v>
      </c>
      <c r="G31" s="3"/>
      <c r="H31" s="17" t="s">
        <v>124</v>
      </c>
    </row>
    <row r="32">
      <c r="A32" s="3"/>
      <c r="B32" s="21" t="s">
        <v>198</v>
      </c>
      <c r="C32" s="21" t="s">
        <v>199</v>
      </c>
      <c r="D32" s="22">
        <v>165.0</v>
      </c>
      <c r="E32" s="22">
        <v>230.0</v>
      </c>
      <c r="F32" s="17" t="s">
        <v>134</v>
      </c>
      <c r="G32" s="3"/>
      <c r="H32" s="17"/>
    </row>
    <row r="33">
      <c r="A33" s="3"/>
      <c r="B33" s="21" t="s">
        <v>200</v>
      </c>
      <c r="C33" s="21" t="s">
        <v>201</v>
      </c>
      <c r="D33" s="22">
        <v>145.0</v>
      </c>
      <c r="E33" s="22">
        <v>165.0</v>
      </c>
      <c r="F33" s="17" t="s">
        <v>202</v>
      </c>
      <c r="G33" s="3"/>
      <c r="H33" s="17"/>
    </row>
    <row r="34">
      <c r="A34" s="3"/>
      <c r="B34" s="21" t="s">
        <v>203</v>
      </c>
      <c r="C34" s="21" t="s">
        <v>204</v>
      </c>
      <c r="D34" s="22">
        <v>135.0</v>
      </c>
      <c r="E34" s="22">
        <v>155.0</v>
      </c>
      <c r="F34" s="17" t="s">
        <v>205</v>
      </c>
      <c r="G34" s="3"/>
      <c r="H34" s="17"/>
    </row>
    <row r="35">
      <c r="A35" s="3"/>
      <c r="B35" s="21" t="s">
        <v>206</v>
      </c>
      <c r="C35" s="21" t="s">
        <v>207</v>
      </c>
      <c r="D35" s="22">
        <v>120.0</v>
      </c>
      <c r="E35" s="22">
        <v>139.0</v>
      </c>
      <c r="F35" s="17" t="s">
        <v>208</v>
      </c>
      <c r="G35" s="3"/>
      <c r="H35" s="17" t="s">
        <v>209</v>
      </c>
    </row>
    <row r="36">
      <c r="A36" s="3"/>
      <c r="B36" s="20" t="s">
        <v>210</v>
      </c>
      <c r="C36" s="21" t="s">
        <v>211</v>
      </c>
      <c r="D36" s="23">
        <v>135.0</v>
      </c>
      <c r="E36" s="22">
        <v>155.0</v>
      </c>
      <c r="F36" s="17" t="s">
        <v>151</v>
      </c>
      <c r="G36" s="3"/>
      <c r="H36" s="17"/>
    </row>
    <row r="37">
      <c r="A37" s="3"/>
      <c r="B37" s="20" t="s">
        <v>212</v>
      </c>
      <c r="C37" s="21" t="s">
        <v>213</v>
      </c>
      <c r="D37" s="23">
        <v>135.0</v>
      </c>
      <c r="E37" s="23">
        <v>155.0</v>
      </c>
      <c r="F37" s="17" t="s">
        <v>154</v>
      </c>
      <c r="G37" s="3"/>
      <c r="H37" s="17"/>
    </row>
    <row r="38">
      <c r="A38" s="3"/>
      <c r="B38" s="20" t="s">
        <v>214</v>
      </c>
      <c r="C38" s="21" t="s">
        <v>215</v>
      </c>
      <c r="D38" s="23">
        <v>135.0</v>
      </c>
      <c r="E38" s="23">
        <v>145.0</v>
      </c>
      <c r="F38" s="17" t="s">
        <v>216</v>
      </c>
      <c r="G38" s="3"/>
      <c r="H38" s="17"/>
    </row>
    <row r="39">
      <c r="A39" s="3"/>
      <c r="B39" s="20" t="s">
        <v>217</v>
      </c>
      <c r="C39" s="21" t="s">
        <v>218</v>
      </c>
      <c r="D39" s="23">
        <v>135.0</v>
      </c>
      <c r="E39" s="23">
        <v>155.0</v>
      </c>
      <c r="F39" s="17" t="s">
        <v>160</v>
      </c>
      <c r="G39" s="3"/>
      <c r="H39" s="17"/>
    </row>
    <row r="40">
      <c r="A40" s="3"/>
      <c r="B40" s="20" t="s">
        <v>219</v>
      </c>
      <c r="C40" s="21" t="s">
        <v>220</v>
      </c>
      <c r="D40" s="23">
        <v>70.0</v>
      </c>
      <c r="E40" s="23">
        <v>90.0</v>
      </c>
      <c r="F40" s="17" t="s">
        <v>221</v>
      </c>
      <c r="G40" s="3"/>
      <c r="H40" s="17"/>
    </row>
    <row r="41">
      <c r="A41" s="3"/>
      <c r="B41" s="20" t="s">
        <v>222</v>
      </c>
      <c r="C41" s="21" t="s">
        <v>223</v>
      </c>
      <c r="D41" s="23">
        <v>155.0</v>
      </c>
      <c r="E41" s="23">
        <v>175.0</v>
      </c>
      <c r="F41" s="17" t="s">
        <v>224</v>
      </c>
      <c r="G41" s="3"/>
      <c r="H41" s="17"/>
    </row>
    <row r="42">
      <c r="A42" s="3"/>
      <c r="B42" s="24" t="s">
        <v>225</v>
      </c>
      <c r="C42" s="21" t="s">
        <v>226</v>
      </c>
      <c r="D42" s="23">
        <v>80.0</v>
      </c>
      <c r="E42" s="23">
        <v>99.0</v>
      </c>
      <c r="F42" s="24" t="s">
        <v>163</v>
      </c>
      <c r="G42" s="3"/>
      <c r="H42" s="17"/>
    </row>
    <row r="43">
      <c r="A43" s="3"/>
      <c r="B43" s="24" t="s">
        <v>227</v>
      </c>
      <c r="C43" s="24" t="s">
        <v>228</v>
      </c>
      <c r="D43" s="23">
        <v>95.0</v>
      </c>
      <c r="E43" s="23">
        <v>115.0</v>
      </c>
      <c r="F43" s="24" t="s">
        <v>166</v>
      </c>
      <c r="G43" s="12"/>
      <c r="H43" s="17"/>
    </row>
    <row r="44">
      <c r="A44" s="3"/>
      <c r="B44" s="20" t="s">
        <v>229</v>
      </c>
      <c r="C44" s="21" t="s">
        <v>230</v>
      </c>
      <c r="D44" s="22">
        <v>80.0</v>
      </c>
      <c r="E44" s="22">
        <v>99.0</v>
      </c>
      <c r="F44" s="21" t="s">
        <v>231</v>
      </c>
      <c r="G44" s="22" t="s">
        <v>232</v>
      </c>
      <c r="H44" s="17" t="s">
        <v>233</v>
      </c>
    </row>
    <row r="45">
      <c r="A45" s="3"/>
      <c r="B45" s="20" t="s">
        <v>234</v>
      </c>
      <c r="C45" s="21" t="s">
        <v>235</v>
      </c>
      <c r="D45" s="22">
        <v>70.0</v>
      </c>
      <c r="E45" s="22">
        <v>89.0</v>
      </c>
      <c r="F45" s="21" t="s">
        <v>236</v>
      </c>
      <c r="G45" s="3"/>
      <c r="H45" s="17" t="s">
        <v>237</v>
      </c>
    </row>
    <row r="46">
      <c r="A46" s="3"/>
      <c r="B46" s="20" t="s">
        <v>238</v>
      </c>
      <c r="C46" s="21" t="s">
        <v>239</v>
      </c>
      <c r="D46" s="22">
        <v>80.0</v>
      </c>
      <c r="E46" s="22">
        <v>99.0</v>
      </c>
      <c r="F46" s="21" t="s">
        <v>240</v>
      </c>
      <c r="G46" s="3"/>
      <c r="H46" s="17"/>
    </row>
    <row r="47">
      <c r="A47" s="3"/>
      <c r="B47" s="20" t="s">
        <v>241</v>
      </c>
      <c r="C47" s="21" t="s">
        <v>242</v>
      </c>
      <c r="D47" s="22">
        <v>60.0</v>
      </c>
      <c r="E47" s="22">
        <v>79.0</v>
      </c>
      <c r="F47" s="21" t="s">
        <v>243</v>
      </c>
      <c r="G47" s="3"/>
      <c r="H47" s="17"/>
    </row>
    <row r="48">
      <c r="A48" s="3"/>
      <c r="B48" s="20" t="s">
        <v>244</v>
      </c>
      <c r="C48" s="21" t="s">
        <v>245</v>
      </c>
      <c r="D48" s="22">
        <v>85.0</v>
      </c>
      <c r="E48" s="22">
        <v>105.0</v>
      </c>
      <c r="F48" s="21" t="s">
        <v>246</v>
      </c>
      <c r="G48" s="12"/>
      <c r="H48" s="17"/>
    </row>
    <row r="49">
      <c r="A49" s="3"/>
      <c r="B49" s="20" t="s">
        <v>247</v>
      </c>
      <c r="C49" s="21" t="s">
        <v>248</v>
      </c>
      <c r="D49" s="22">
        <v>105.0</v>
      </c>
      <c r="E49" s="22">
        <v>125.0</v>
      </c>
      <c r="F49" s="17" t="s">
        <v>249</v>
      </c>
      <c r="G49" s="22" t="s">
        <v>250</v>
      </c>
      <c r="H49" s="17" t="s">
        <v>233</v>
      </c>
    </row>
    <row r="50">
      <c r="A50" s="3"/>
      <c r="B50" s="20" t="s">
        <v>251</v>
      </c>
      <c r="C50" s="21" t="s">
        <v>252</v>
      </c>
      <c r="D50" s="22">
        <v>95.0</v>
      </c>
      <c r="E50" s="22">
        <v>105.0</v>
      </c>
      <c r="F50" s="21" t="s">
        <v>236</v>
      </c>
      <c r="G50" s="3"/>
      <c r="H50" s="17" t="s">
        <v>237</v>
      </c>
    </row>
    <row r="51">
      <c r="A51" s="3"/>
      <c r="B51" s="20" t="s">
        <v>253</v>
      </c>
      <c r="C51" s="21" t="s">
        <v>254</v>
      </c>
      <c r="D51" s="23">
        <v>95.0</v>
      </c>
      <c r="E51" s="23">
        <v>105.0</v>
      </c>
      <c r="F51" s="24" t="s">
        <v>240</v>
      </c>
      <c r="G51" s="3"/>
      <c r="H51" s="17"/>
    </row>
    <row r="52">
      <c r="A52" s="3"/>
      <c r="B52" s="20" t="s">
        <v>255</v>
      </c>
      <c r="C52" s="21" t="s">
        <v>256</v>
      </c>
      <c r="D52" s="23">
        <v>80.0</v>
      </c>
      <c r="E52" s="23">
        <v>99.0</v>
      </c>
      <c r="F52" s="24" t="s">
        <v>243</v>
      </c>
      <c r="G52" s="3"/>
      <c r="H52" s="17"/>
    </row>
    <row r="53">
      <c r="A53" s="3"/>
      <c r="B53" s="20" t="s">
        <v>257</v>
      </c>
      <c r="C53" s="21" t="s">
        <v>258</v>
      </c>
      <c r="D53" s="23">
        <v>120.0</v>
      </c>
      <c r="E53" s="23">
        <v>140.0</v>
      </c>
      <c r="F53" s="24" t="s">
        <v>246</v>
      </c>
      <c r="G53" s="12"/>
      <c r="H53" s="17"/>
    </row>
    <row r="54">
      <c r="A54" s="3"/>
      <c r="B54" s="21" t="s">
        <v>259</v>
      </c>
      <c r="C54" s="21" t="s">
        <v>260</v>
      </c>
      <c r="D54" s="18">
        <v>65.0</v>
      </c>
      <c r="E54" s="18">
        <v>85.0</v>
      </c>
      <c r="F54" s="17" t="s">
        <v>261</v>
      </c>
      <c r="G54" s="19" t="s">
        <v>262</v>
      </c>
      <c r="H54" s="17" t="s">
        <v>263</v>
      </c>
    </row>
    <row r="55">
      <c r="A55" s="12"/>
      <c r="B55" s="21" t="s">
        <v>264</v>
      </c>
      <c r="C55" s="21" t="s">
        <v>265</v>
      </c>
      <c r="D55" s="18">
        <v>75.0</v>
      </c>
      <c r="E55" s="18">
        <v>95.0</v>
      </c>
      <c r="F55" s="17" t="s">
        <v>266</v>
      </c>
      <c r="G55" s="19" t="s">
        <v>267</v>
      </c>
      <c r="H55" s="17" t="s">
        <v>268</v>
      </c>
    </row>
    <row r="56">
      <c r="A56" s="25" t="s">
        <v>269</v>
      </c>
      <c r="B56" s="26" t="s">
        <v>270</v>
      </c>
      <c r="C56" s="26" t="s">
        <v>271</v>
      </c>
      <c r="D56" s="27">
        <v>69.0</v>
      </c>
      <c r="E56" s="18">
        <v>79.0</v>
      </c>
      <c r="F56" s="17" t="s">
        <v>272</v>
      </c>
      <c r="G56" s="19" t="s">
        <v>273</v>
      </c>
      <c r="H56" s="17" t="s">
        <v>274</v>
      </c>
    </row>
    <row r="57">
      <c r="A57" s="3"/>
      <c r="B57" s="26" t="s">
        <v>275</v>
      </c>
      <c r="C57" s="26" t="s">
        <v>276</v>
      </c>
      <c r="D57" s="27">
        <v>89.0</v>
      </c>
      <c r="E57" s="18">
        <v>99.0</v>
      </c>
      <c r="F57" s="17" t="s">
        <v>277</v>
      </c>
      <c r="G57" s="19" t="s">
        <v>278</v>
      </c>
      <c r="H57" s="17" t="s">
        <v>274</v>
      </c>
    </row>
    <row r="58">
      <c r="A58" s="3"/>
      <c r="B58" s="26" t="s">
        <v>279</v>
      </c>
      <c r="C58" s="26" t="s">
        <v>280</v>
      </c>
      <c r="D58" s="27">
        <v>89.0</v>
      </c>
      <c r="E58" s="18">
        <v>99.0</v>
      </c>
      <c r="F58" s="17" t="s">
        <v>281</v>
      </c>
      <c r="G58" s="19" t="s">
        <v>278</v>
      </c>
      <c r="H58" s="17" t="s">
        <v>274</v>
      </c>
    </row>
    <row r="59">
      <c r="A59" s="3"/>
      <c r="B59" s="26" t="s">
        <v>282</v>
      </c>
      <c r="C59" s="26" t="s">
        <v>283</v>
      </c>
      <c r="D59" s="27">
        <v>89.0</v>
      </c>
      <c r="E59" s="18">
        <v>99.0</v>
      </c>
      <c r="F59" s="17" t="s">
        <v>284</v>
      </c>
      <c r="G59" s="19" t="s">
        <v>278</v>
      </c>
      <c r="H59" s="17" t="s">
        <v>274</v>
      </c>
    </row>
    <row r="60">
      <c r="A60" s="3"/>
      <c r="B60" s="26" t="s">
        <v>285</v>
      </c>
      <c r="C60" s="26" t="s">
        <v>286</v>
      </c>
      <c r="D60" s="27">
        <v>89.0</v>
      </c>
      <c r="E60" s="18">
        <v>99.0</v>
      </c>
      <c r="F60" s="17" t="s">
        <v>287</v>
      </c>
      <c r="G60" s="19" t="s">
        <v>288</v>
      </c>
      <c r="H60" s="17" t="s">
        <v>274</v>
      </c>
    </row>
    <row r="61">
      <c r="A61" s="3"/>
      <c r="B61" s="26" t="s">
        <v>289</v>
      </c>
      <c r="C61" s="26" t="s">
        <v>290</v>
      </c>
      <c r="D61" s="27">
        <v>89.0</v>
      </c>
      <c r="E61" s="18">
        <v>99.0</v>
      </c>
      <c r="F61" s="17" t="s">
        <v>291</v>
      </c>
      <c r="G61" s="19" t="s">
        <v>292</v>
      </c>
      <c r="H61" s="17" t="s">
        <v>274</v>
      </c>
    </row>
    <row r="62">
      <c r="A62" s="3"/>
      <c r="B62" s="26" t="s">
        <v>293</v>
      </c>
      <c r="C62" s="26" t="s">
        <v>294</v>
      </c>
      <c r="D62" s="27">
        <v>79.0</v>
      </c>
      <c r="E62" s="18">
        <v>89.0</v>
      </c>
      <c r="F62" s="17" t="s">
        <v>295</v>
      </c>
      <c r="G62" s="19" t="s">
        <v>296</v>
      </c>
      <c r="H62" s="17" t="s">
        <v>274</v>
      </c>
    </row>
    <row r="63">
      <c r="A63" s="3"/>
      <c r="B63" s="26" t="s">
        <v>297</v>
      </c>
      <c r="C63" s="26" t="s">
        <v>298</v>
      </c>
      <c r="D63" s="27">
        <v>69.0</v>
      </c>
      <c r="E63" s="18">
        <v>79.0</v>
      </c>
      <c r="F63" s="17" t="s">
        <v>299</v>
      </c>
      <c r="G63" s="19" t="s">
        <v>300</v>
      </c>
      <c r="H63" s="17" t="s">
        <v>274</v>
      </c>
    </row>
    <row r="64">
      <c r="A64" s="12"/>
      <c r="B64" s="26" t="s">
        <v>301</v>
      </c>
      <c r="C64" s="28" t="s">
        <v>302</v>
      </c>
      <c r="D64" s="27">
        <v>79.0</v>
      </c>
      <c r="E64" s="18">
        <v>89.0</v>
      </c>
      <c r="F64" s="17" t="s">
        <v>303</v>
      </c>
      <c r="G64" s="19" t="s">
        <v>304</v>
      </c>
      <c r="H64" s="17"/>
    </row>
    <row r="65">
      <c r="A65" s="25" t="s">
        <v>305</v>
      </c>
      <c r="B65" s="26" t="s">
        <v>306</v>
      </c>
      <c r="C65" s="28" t="s">
        <v>307</v>
      </c>
      <c r="D65" s="27">
        <v>59.0</v>
      </c>
      <c r="E65" s="18">
        <v>79.0</v>
      </c>
      <c r="F65" s="17" t="s">
        <v>308</v>
      </c>
      <c r="G65" s="21"/>
      <c r="H65" s="17"/>
    </row>
    <row r="66">
      <c r="A66" s="3"/>
      <c r="B66" s="26" t="s">
        <v>309</v>
      </c>
      <c r="C66" s="26" t="s">
        <v>310</v>
      </c>
      <c r="D66" s="27">
        <v>79.0</v>
      </c>
      <c r="E66" s="18">
        <v>89.0</v>
      </c>
      <c r="F66" s="17" t="s">
        <v>311</v>
      </c>
      <c r="G66" s="19" t="s">
        <v>312</v>
      </c>
      <c r="H66" s="17" t="s">
        <v>313</v>
      </c>
    </row>
    <row r="67">
      <c r="A67" s="3"/>
      <c r="B67" s="26" t="s">
        <v>314</v>
      </c>
      <c r="C67" s="26" t="s">
        <v>315</v>
      </c>
      <c r="D67" s="27">
        <v>105.0</v>
      </c>
      <c r="E67" s="18">
        <v>129.0</v>
      </c>
      <c r="F67" s="17" t="s">
        <v>316</v>
      </c>
      <c r="G67" s="19" t="s">
        <v>317</v>
      </c>
      <c r="H67" s="17" t="s">
        <v>313</v>
      </c>
    </row>
    <row r="68">
      <c r="A68" s="3"/>
      <c r="B68" s="26" t="s">
        <v>318</v>
      </c>
      <c r="C68" s="26" t="s">
        <v>319</v>
      </c>
      <c r="D68" s="27">
        <v>99.0</v>
      </c>
      <c r="E68" s="18">
        <v>109.0</v>
      </c>
      <c r="F68" s="17" t="s">
        <v>320</v>
      </c>
      <c r="G68" s="19" t="s">
        <v>321</v>
      </c>
      <c r="H68" s="17" t="s">
        <v>313</v>
      </c>
    </row>
    <row r="69">
      <c r="A69" s="3"/>
      <c r="B69" s="26" t="s">
        <v>322</v>
      </c>
      <c r="C69" s="26" t="s">
        <v>323</v>
      </c>
      <c r="D69" s="27">
        <v>99.0</v>
      </c>
      <c r="E69" s="18">
        <v>109.0</v>
      </c>
      <c r="F69" s="17" t="s">
        <v>324</v>
      </c>
      <c r="G69" s="19" t="s">
        <v>317</v>
      </c>
      <c r="H69" s="17" t="s">
        <v>313</v>
      </c>
    </row>
    <row r="70">
      <c r="A70" s="3"/>
      <c r="B70" s="26" t="s">
        <v>325</v>
      </c>
      <c r="C70" s="26" t="s">
        <v>326</v>
      </c>
      <c r="D70" s="27">
        <v>89.0</v>
      </c>
      <c r="E70" s="18">
        <v>109.0</v>
      </c>
      <c r="F70" s="17" t="s">
        <v>327</v>
      </c>
      <c r="G70" s="19" t="s">
        <v>317</v>
      </c>
      <c r="H70" s="17" t="s">
        <v>313</v>
      </c>
    </row>
    <row r="71">
      <c r="A71" s="3"/>
      <c r="B71" s="26" t="s">
        <v>328</v>
      </c>
      <c r="C71" s="26" t="s">
        <v>329</v>
      </c>
      <c r="D71" s="27">
        <v>125.0</v>
      </c>
      <c r="E71" s="18">
        <v>149.0</v>
      </c>
      <c r="F71" s="17" t="s">
        <v>330</v>
      </c>
      <c r="G71" s="19" t="s">
        <v>317</v>
      </c>
      <c r="H71" s="17" t="s">
        <v>313</v>
      </c>
    </row>
    <row r="72">
      <c r="A72" s="3"/>
      <c r="B72" s="26" t="s">
        <v>331</v>
      </c>
      <c r="C72" s="26" t="s">
        <v>332</v>
      </c>
      <c r="D72" s="27">
        <v>125.0</v>
      </c>
      <c r="E72" s="18">
        <v>149.0</v>
      </c>
      <c r="F72" s="17" t="s">
        <v>333</v>
      </c>
      <c r="G72" s="19" t="s">
        <v>317</v>
      </c>
      <c r="H72" s="17" t="s">
        <v>313</v>
      </c>
    </row>
    <row r="73">
      <c r="A73" s="12"/>
      <c r="B73" s="26" t="s">
        <v>334</v>
      </c>
      <c r="C73" s="26" t="s">
        <v>335</v>
      </c>
      <c r="D73" s="27">
        <v>79.0</v>
      </c>
      <c r="E73" s="18">
        <v>89.0</v>
      </c>
      <c r="F73" s="17" t="s">
        <v>336</v>
      </c>
      <c r="G73" s="19" t="s">
        <v>337</v>
      </c>
      <c r="H73" s="17" t="s">
        <v>313</v>
      </c>
    </row>
    <row r="74">
      <c r="A74" s="25" t="s">
        <v>338</v>
      </c>
      <c r="B74" s="26" t="s">
        <v>339</v>
      </c>
      <c r="C74" s="26" t="s">
        <v>340</v>
      </c>
      <c r="D74" s="27">
        <v>79.0</v>
      </c>
      <c r="E74" s="18">
        <v>99.0</v>
      </c>
      <c r="F74" s="17" t="s">
        <v>341</v>
      </c>
      <c r="G74" s="19" t="s">
        <v>342</v>
      </c>
      <c r="H74" s="17"/>
    </row>
    <row r="75">
      <c r="A75" s="3"/>
      <c r="B75" s="26" t="s">
        <v>343</v>
      </c>
      <c r="C75" s="26" t="s">
        <v>344</v>
      </c>
      <c r="D75" s="27">
        <v>79.0</v>
      </c>
      <c r="E75" s="18">
        <v>99.0</v>
      </c>
      <c r="F75" s="17" t="s">
        <v>345</v>
      </c>
      <c r="G75" s="19" t="s">
        <v>346</v>
      </c>
      <c r="H75" s="17" t="s">
        <v>313</v>
      </c>
    </row>
    <row r="76">
      <c r="A76" s="3"/>
      <c r="B76" s="26" t="s">
        <v>347</v>
      </c>
      <c r="C76" s="26" t="s">
        <v>348</v>
      </c>
      <c r="D76" s="27">
        <v>79.0</v>
      </c>
      <c r="E76" s="18">
        <v>99.0</v>
      </c>
      <c r="F76" s="17" t="s">
        <v>349</v>
      </c>
      <c r="G76" s="19" t="s">
        <v>350</v>
      </c>
      <c r="H76" s="17"/>
    </row>
    <row r="77">
      <c r="A77" s="3"/>
      <c r="B77" s="26" t="s">
        <v>351</v>
      </c>
      <c r="C77" s="26" t="s">
        <v>352</v>
      </c>
      <c r="D77" s="18">
        <v>99.0</v>
      </c>
      <c r="E77" s="18">
        <v>129.0</v>
      </c>
      <c r="F77" s="17" t="s">
        <v>353</v>
      </c>
      <c r="G77" s="19" t="s">
        <v>350</v>
      </c>
      <c r="H77" s="17" t="s">
        <v>313</v>
      </c>
    </row>
    <row r="78">
      <c r="A78" s="3"/>
      <c r="B78" s="26" t="s">
        <v>354</v>
      </c>
      <c r="C78" s="26" t="s">
        <v>355</v>
      </c>
      <c r="D78" s="18">
        <v>99.0</v>
      </c>
      <c r="E78" s="18">
        <v>119.0</v>
      </c>
      <c r="F78" s="17" t="s">
        <v>356</v>
      </c>
      <c r="G78" s="19" t="s">
        <v>357</v>
      </c>
      <c r="H78" s="17" t="s">
        <v>313</v>
      </c>
    </row>
    <row r="79">
      <c r="A79" s="12"/>
      <c r="B79" s="26" t="s">
        <v>358</v>
      </c>
      <c r="C79" s="26" t="s">
        <v>359</v>
      </c>
      <c r="D79" s="18">
        <v>109.0</v>
      </c>
      <c r="E79" s="18">
        <v>119.0</v>
      </c>
      <c r="F79" s="17" t="s">
        <v>360</v>
      </c>
      <c r="G79" s="19" t="s">
        <v>361</v>
      </c>
      <c r="H79" s="17" t="s">
        <v>362</v>
      </c>
    </row>
    <row r="80">
      <c r="A80" s="25" t="s">
        <v>363</v>
      </c>
      <c r="B80" s="21"/>
      <c r="C80" s="26" t="s">
        <v>307</v>
      </c>
      <c r="D80" s="27">
        <v>59.0</v>
      </c>
      <c r="E80" s="18">
        <v>79.0</v>
      </c>
      <c r="F80" s="26" t="s">
        <v>308</v>
      </c>
      <c r="G80" s="19" t="s">
        <v>364</v>
      </c>
      <c r="H80" s="17" t="s">
        <v>365</v>
      </c>
    </row>
    <row r="81">
      <c r="A81" s="3"/>
      <c r="B81" s="26" t="s">
        <v>366</v>
      </c>
      <c r="C81" s="26" t="s">
        <v>367</v>
      </c>
      <c r="D81" s="27">
        <v>129.0</v>
      </c>
      <c r="E81" s="19">
        <v>149.0</v>
      </c>
      <c r="F81" s="26" t="s">
        <v>368</v>
      </c>
      <c r="G81" s="19" t="s">
        <v>304</v>
      </c>
      <c r="H81" s="17"/>
    </row>
    <row r="82">
      <c r="A82" s="3"/>
      <c r="B82" s="26" t="s">
        <v>369</v>
      </c>
      <c r="C82" s="26" t="s">
        <v>370</v>
      </c>
      <c r="D82" s="27">
        <v>159.0</v>
      </c>
      <c r="E82" s="18">
        <v>179.0</v>
      </c>
      <c r="F82" s="17" t="s">
        <v>371</v>
      </c>
      <c r="G82" s="19" t="s">
        <v>372</v>
      </c>
      <c r="H82" s="17" t="s">
        <v>313</v>
      </c>
    </row>
    <row r="83">
      <c r="A83" s="3"/>
      <c r="B83" s="26" t="s">
        <v>373</v>
      </c>
      <c r="C83" s="26" t="s">
        <v>374</v>
      </c>
      <c r="D83" s="27">
        <v>159.0</v>
      </c>
      <c r="E83" s="18">
        <v>179.0</v>
      </c>
      <c r="F83" s="17" t="s">
        <v>375</v>
      </c>
      <c r="G83" s="19" t="s">
        <v>376</v>
      </c>
      <c r="H83" s="17" t="s">
        <v>377</v>
      </c>
    </row>
    <row r="84">
      <c r="A84" s="3"/>
      <c r="B84" s="26" t="s">
        <v>378</v>
      </c>
      <c r="C84" s="26" t="s">
        <v>379</v>
      </c>
      <c r="D84" s="27">
        <v>179.0</v>
      </c>
      <c r="E84" s="18">
        <v>199.0</v>
      </c>
      <c r="F84" s="17" t="s">
        <v>380</v>
      </c>
      <c r="G84" s="19" t="s">
        <v>376</v>
      </c>
      <c r="H84" s="17" t="s">
        <v>377</v>
      </c>
    </row>
    <row r="85">
      <c r="A85" s="3"/>
      <c r="B85" s="26" t="s">
        <v>381</v>
      </c>
      <c r="C85" s="26" t="s">
        <v>382</v>
      </c>
      <c r="D85" s="27">
        <v>169.0</v>
      </c>
      <c r="E85" s="18">
        <v>189.0</v>
      </c>
      <c r="F85" s="17" t="s">
        <v>383</v>
      </c>
      <c r="G85" s="19" t="s">
        <v>384</v>
      </c>
      <c r="H85" s="17"/>
    </row>
    <row r="86">
      <c r="A86" s="3"/>
      <c r="B86" s="26" t="s">
        <v>385</v>
      </c>
      <c r="C86" s="26" t="s">
        <v>386</v>
      </c>
      <c r="D86" s="27">
        <v>159.0</v>
      </c>
      <c r="E86" s="18">
        <v>179.0</v>
      </c>
      <c r="F86" s="17" t="s">
        <v>387</v>
      </c>
      <c r="G86" s="19" t="s">
        <v>388</v>
      </c>
      <c r="H86" s="17"/>
    </row>
    <row r="87">
      <c r="A87" s="3"/>
      <c r="B87" s="26" t="s">
        <v>389</v>
      </c>
      <c r="C87" s="26" t="s">
        <v>390</v>
      </c>
      <c r="D87" s="27">
        <v>189.0</v>
      </c>
      <c r="E87" s="18">
        <v>199.0</v>
      </c>
      <c r="F87" s="17" t="s">
        <v>391</v>
      </c>
      <c r="G87" s="19" t="s">
        <v>372</v>
      </c>
      <c r="H87" s="17"/>
    </row>
    <row r="88">
      <c r="A88" s="3"/>
      <c r="B88" s="26" t="s">
        <v>392</v>
      </c>
      <c r="C88" s="26" t="s">
        <v>393</v>
      </c>
      <c r="D88" s="27">
        <v>179.0</v>
      </c>
      <c r="E88" s="18">
        <v>189.0</v>
      </c>
      <c r="F88" s="17" t="s">
        <v>394</v>
      </c>
      <c r="G88" s="19" t="s">
        <v>372</v>
      </c>
      <c r="H88" s="17"/>
    </row>
    <row r="89">
      <c r="A89" s="12"/>
      <c r="B89" s="29" t="s">
        <v>395</v>
      </c>
      <c r="C89" s="29" t="s">
        <v>396</v>
      </c>
      <c r="D89" s="30"/>
      <c r="E89" s="31"/>
      <c r="F89" s="31" t="s">
        <v>397</v>
      </c>
      <c r="G89" s="30"/>
      <c r="H89" s="31"/>
    </row>
    <row r="90">
      <c r="A90" s="21"/>
      <c r="B90" s="21"/>
      <c r="C90" s="21"/>
      <c r="D90" s="21"/>
      <c r="E90" s="17"/>
      <c r="F90" s="17"/>
      <c r="G90" s="21"/>
      <c r="H90" s="17"/>
    </row>
    <row r="91">
      <c r="A91" s="25" t="s">
        <v>398</v>
      </c>
      <c r="B91" s="26" t="s">
        <v>399</v>
      </c>
      <c r="C91" s="26" t="s">
        <v>400</v>
      </c>
      <c r="D91" s="32">
        <v>69.0</v>
      </c>
      <c r="E91" s="33">
        <v>79.0</v>
      </c>
      <c r="F91" s="17" t="s">
        <v>401</v>
      </c>
      <c r="G91" s="19" t="s">
        <v>402</v>
      </c>
      <c r="H91" s="17" t="s">
        <v>274</v>
      </c>
    </row>
    <row r="92">
      <c r="A92" s="3"/>
      <c r="B92" s="26" t="s">
        <v>403</v>
      </c>
      <c r="C92" s="26" t="s">
        <v>404</v>
      </c>
      <c r="D92" s="33">
        <v>69.0</v>
      </c>
      <c r="E92" s="33">
        <v>79.0</v>
      </c>
      <c r="F92" s="17" t="s">
        <v>405</v>
      </c>
      <c r="G92" s="19" t="s">
        <v>402</v>
      </c>
      <c r="H92" s="17" t="s">
        <v>274</v>
      </c>
    </row>
    <row r="93">
      <c r="A93" s="3"/>
      <c r="B93" s="26" t="s">
        <v>406</v>
      </c>
      <c r="C93" s="26" t="s">
        <v>407</v>
      </c>
      <c r="D93" s="33">
        <v>69.0</v>
      </c>
      <c r="E93" s="33">
        <v>79.0</v>
      </c>
      <c r="F93" s="17" t="s">
        <v>408</v>
      </c>
      <c r="G93" s="19" t="s">
        <v>409</v>
      </c>
      <c r="H93" s="17" t="s">
        <v>274</v>
      </c>
    </row>
    <row r="94">
      <c r="A94" s="3"/>
      <c r="B94" s="26" t="s">
        <v>410</v>
      </c>
      <c r="C94" s="26" t="s">
        <v>411</v>
      </c>
      <c r="D94" s="33">
        <v>69.0</v>
      </c>
      <c r="E94" s="33">
        <v>79.0</v>
      </c>
      <c r="F94" s="26" t="s">
        <v>412</v>
      </c>
      <c r="G94" s="19" t="s">
        <v>413</v>
      </c>
      <c r="H94" s="26" t="s">
        <v>414</v>
      </c>
    </row>
    <row r="95">
      <c r="A95" s="3"/>
      <c r="B95" s="26" t="s">
        <v>415</v>
      </c>
      <c r="C95" s="26" t="s">
        <v>416</v>
      </c>
      <c r="D95" s="33">
        <v>89.0</v>
      </c>
      <c r="E95" s="33">
        <v>109.0</v>
      </c>
      <c r="F95" s="17" t="s">
        <v>417</v>
      </c>
      <c r="G95" s="19" t="s">
        <v>413</v>
      </c>
      <c r="H95" s="26" t="s">
        <v>414</v>
      </c>
    </row>
    <row r="96">
      <c r="A96" s="3"/>
      <c r="B96" s="26" t="s">
        <v>418</v>
      </c>
      <c r="C96" s="26" t="s">
        <v>419</v>
      </c>
      <c r="D96" s="33">
        <v>109.0</v>
      </c>
      <c r="E96" s="33">
        <v>139.0</v>
      </c>
      <c r="F96" s="17" t="s">
        <v>420</v>
      </c>
      <c r="G96" s="19" t="s">
        <v>413</v>
      </c>
      <c r="H96" s="26" t="s">
        <v>414</v>
      </c>
    </row>
    <row r="97">
      <c r="A97" s="3"/>
      <c r="B97" s="26" t="s">
        <v>421</v>
      </c>
      <c r="C97" s="26" t="s">
        <v>422</v>
      </c>
      <c r="D97" s="32">
        <v>69.0</v>
      </c>
      <c r="E97" s="33">
        <v>79.0</v>
      </c>
      <c r="F97" s="17" t="s">
        <v>423</v>
      </c>
      <c r="G97" s="19" t="s">
        <v>402</v>
      </c>
      <c r="H97" s="21"/>
    </row>
    <row r="98">
      <c r="A98" s="3"/>
      <c r="B98" s="26" t="s">
        <v>424</v>
      </c>
      <c r="C98" s="26" t="s">
        <v>425</v>
      </c>
      <c r="D98" s="33">
        <v>79.0</v>
      </c>
      <c r="E98" s="33">
        <v>89.0</v>
      </c>
      <c r="F98" s="17" t="s">
        <v>426</v>
      </c>
      <c r="G98" s="19" t="s">
        <v>409</v>
      </c>
      <c r="H98" s="21"/>
    </row>
    <row r="99">
      <c r="A99" s="3"/>
      <c r="B99" s="26" t="s">
        <v>427</v>
      </c>
      <c r="C99" s="26" t="s">
        <v>428</v>
      </c>
      <c r="D99" s="33">
        <v>79.0</v>
      </c>
      <c r="E99" s="33">
        <v>89.0</v>
      </c>
      <c r="F99" s="17" t="s">
        <v>429</v>
      </c>
      <c r="G99" s="19" t="s">
        <v>402</v>
      </c>
      <c r="H99" s="21"/>
    </row>
    <row r="100">
      <c r="A100" s="3"/>
      <c r="B100" s="26" t="s">
        <v>430</v>
      </c>
      <c r="C100" s="17" t="s">
        <v>382</v>
      </c>
      <c r="D100" s="33">
        <v>139.0</v>
      </c>
      <c r="E100" s="33">
        <v>179.0</v>
      </c>
      <c r="F100" s="17" t="s">
        <v>387</v>
      </c>
      <c r="G100" s="21"/>
      <c r="H100" s="21"/>
    </row>
    <row r="101">
      <c r="A101" s="3"/>
      <c r="B101" s="26" t="s">
        <v>431</v>
      </c>
      <c r="C101" s="8" t="s">
        <v>386</v>
      </c>
      <c r="D101" s="33">
        <v>129.0</v>
      </c>
      <c r="E101" s="33">
        <v>189.0</v>
      </c>
      <c r="F101" s="17" t="s">
        <v>387</v>
      </c>
      <c r="G101" s="21"/>
      <c r="H101" s="21"/>
    </row>
    <row r="102">
      <c r="A102" s="12"/>
      <c r="B102" s="29" t="s">
        <v>432</v>
      </c>
      <c r="C102" s="31" t="s">
        <v>433</v>
      </c>
      <c r="D102" s="31"/>
      <c r="E102" s="31"/>
      <c r="F102" s="31"/>
      <c r="G102" s="30"/>
      <c r="H102" s="30"/>
    </row>
    <row r="103">
      <c r="A103" s="25" t="s">
        <v>434</v>
      </c>
      <c r="B103" s="28" t="s">
        <v>435</v>
      </c>
      <c r="C103" s="26" t="s">
        <v>436</v>
      </c>
      <c r="D103" s="18">
        <v>50.0</v>
      </c>
      <c r="E103" s="18">
        <v>50.0</v>
      </c>
      <c r="F103" s="17" t="s">
        <v>437</v>
      </c>
      <c r="G103" s="21"/>
      <c r="H103" s="21"/>
    </row>
    <row r="104">
      <c r="A104" s="3"/>
      <c r="B104" s="28" t="s">
        <v>438</v>
      </c>
      <c r="C104" s="26" t="s">
        <v>439</v>
      </c>
      <c r="D104" s="18">
        <v>30.0</v>
      </c>
      <c r="E104" s="18">
        <v>30.0</v>
      </c>
      <c r="F104" s="17" t="s">
        <v>440</v>
      </c>
      <c r="G104" s="21"/>
      <c r="H104" s="21"/>
    </row>
    <row r="105">
      <c r="A105" s="3"/>
      <c r="B105" s="28" t="s">
        <v>441</v>
      </c>
      <c r="C105" s="26" t="s">
        <v>442</v>
      </c>
      <c r="D105" s="18">
        <v>30.0</v>
      </c>
      <c r="E105" s="18">
        <v>30.0</v>
      </c>
      <c r="F105" s="17" t="s">
        <v>443</v>
      </c>
      <c r="G105" s="21"/>
      <c r="H105" s="21"/>
    </row>
    <row r="106">
      <c r="A106" s="3"/>
      <c r="B106" s="28" t="s">
        <v>444</v>
      </c>
      <c r="C106" s="26" t="s">
        <v>445</v>
      </c>
      <c r="D106" s="27">
        <v>50.0</v>
      </c>
      <c r="E106" s="27">
        <v>50.0</v>
      </c>
      <c r="F106" s="17" t="s">
        <v>446</v>
      </c>
      <c r="G106" s="21"/>
      <c r="H106" s="21"/>
    </row>
    <row r="107">
      <c r="A107" s="3"/>
      <c r="B107" s="28" t="s">
        <v>447</v>
      </c>
      <c r="C107" s="26" t="s">
        <v>448</v>
      </c>
      <c r="D107" s="18">
        <v>5.0</v>
      </c>
      <c r="E107" s="18">
        <v>5.0</v>
      </c>
      <c r="F107" s="17" t="s">
        <v>449</v>
      </c>
      <c r="G107" s="21"/>
      <c r="H107" s="21"/>
    </row>
    <row r="108">
      <c r="A108" s="3"/>
      <c r="B108" s="28" t="s">
        <v>450</v>
      </c>
      <c r="C108" s="26" t="s">
        <v>451</v>
      </c>
      <c r="D108" s="27">
        <v>50.0</v>
      </c>
      <c r="E108" s="27">
        <v>50.0</v>
      </c>
      <c r="F108" s="17" t="s">
        <v>452</v>
      </c>
      <c r="G108" s="21"/>
      <c r="H108" s="21"/>
    </row>
    <row r="109">
      <c r="A109" s="3"/>
      <c r="B109" s="28" t="s">
        <v>453</v>
      </c>
      <c r="C109" s="26" t="s">
        <v>454</v>
      </c>
      <c r="D109" s="18">
        <v>30.0</v>
      </c>
      <c r="E109" s="18">
        <v>30.0</v>
      </c>
      <c r="F109" s="17" t="s">
        <v>455</v>
      </c>
      <c r="G109" s="21"/>
      <c r="H109" s="21"/>
    </row>
    <row r="110">
      <c r="A110" s="3"/>
      <c r="B110" s="28" t="s">
        <v>456</v>
      </c>
      <c r="C110" s="26" t="s">
        <v>457</v>
      </c>
      <c r="D110" s="18">
        <v>30.0</v>
      </c>
      <c r="E110" s="18">
        <v>30.0</v>
      </c>
      <c r="F110" s="17" t="s">
        <v>458</v>
      </c>
      <c r="G110" s="21"/>
      <c r="H110" s="21"/>
    </row>
    <row r="111">
      <c r="A111" s="3"/>
      <c r="B111" s="28" t="s">
        <v>459</v>
      </c>
      <c r="C111" s="26" t="s">
        <v>460</v>
      </c>
      <c r="D111" s="18">
        <v>30.0</v>
      </c>
      <c r="E111" s="18">
        <v>30.0</v>
      </c>
      <c r="F111" s="17" t="s">
        <v>461</v>
      </c>
      <c r="G111" s="21"/>
      <c r="H111" s="21"/>
    </row>
    <row r="112">
      <c r="A112" s="3"/>
      <c r="B112" s="28" t="s">
        <v>462</v>
      </c>
      <c r="C112" s="26" t="s">
        <v>463</v>
      </c>
      <c r="D112" s="18">
        <v>30.0</v>
      </c>
      <c r="E112" s="18">
        <v>30.0</v>
      </c>
      <c r="F112" s="17" t="s">
        <v>464</v>
      </c>
      <c r="G112" s="21"/>
      <c r="H112" s="21"/>
    </row>
    <row r="113">
      <c r="A113" s="12"/>
      <c r="B113" s="28" t="s">
        <v>465</v>
      </c>
      <c r="C113" s="26" t="s">
        <v>466</v>
      </c>
      <c r="D113" s="18">
        <v>30.0</v>
      </c>
      <c r="E113" s="18">
        <v>40.0</v>
      </c>
      <c r="F113" s="31" t="s">
        <v>467</v>
      </c>
      <c r="G113" s="21"/>
      <c r="H113" s="21"/>
    </row>
    <row r="114">
      <c r="A114" s="25" t="s">
        <v>468</v>
      </c>
      <c r="B114" s="28" t="s">
        <v>469</v>
      </c>
      <c r="C114" s="26" t="s">
        <v>470</v>
      </c>
      <c r="D114" s="33">
        <v>89.0</v>
      </c>
      <c r="E114" s="34">
        <v>99.0</v>
      </c>
      <c r="F114" s="17" t="s">
        <v>471</v>
      </c>
      <c r="G114" s="33">
        <v>99.0</v>
      </c>
      <c r="H114" s="21"/>
    </row>
    <row r="115">
      <c r="A115" s="3"/>
      <c r="B115" s="28" t="s">
        <v>472</v>
      </c>
      <c r="C115" s="26" t="s">
        <v>473</v>
      </c>
      <c r="D115" s="33">
        <v>89.0</v>
      </c>
      <c r="E115" s="34">
        <v>99.0</v>
      </c>
      <c r="F115" s="17" t="s">
        <v>474</v>
      </c>
      <c r="G115" s="33">
        <v>99.0</v>
      </c>
      <c r="H115" s="17"/>
    </row>
    <row r="116">
      <c r="A116" s="3"/>
      <c r="B116" s="28" t="s">
        <v>475</v>
      </c>
      <c r="C116" s="17" t="s">
        <v>476</v>
      </c>
      <c r="D116" s="33">
        <v>69.0</v>
      </c>
      <c r="E116" s="34">
        <v>79.0</v>
      </c>
      <c r="F116" s="17" t="s">
        <v>477</v>
      </c>
      <c r="G116" s="17"/>
      <c r="H116" s="17"/>
    </row>
    <row r="117">
      <c r="A117" s="3"/>
      <c r="B117" s="28" t="s">
        <v>478</v>
      </c>
      <c r="C117" s="17" t="s">
        <v>479</v>
      </c>
      <c r="D117" s="35">
        <v>35.0</v>
      </c>
      <c r="E117" s="35">
        <v>45.0</v>
      </c>
      <c r="F117" s="17" t="s">
        <v>477</v>
      </c>
      <c r="G117" s="17"/>
      <c r="H117" s="21"/>
    </row>
    <row r="118">
      <c r="A118" s="3"/>
      <c r="B118" s="28" t="s">
        <v>480</v>
      </c>
      <c r="C118" s="36" t="s">
        <v>481</v>
      </c>
      <c r="D118" s="35">
        <v>35.0</v>
      </c>
      <c r="E118" s="35">
        <v>40.0</v>
      </c>
      <c r="F118" s="36" t="s">
        <v>482</v>
      </c>
      <c r="G118" s="17"/>
      <c r="H118" s="21"/>
    </row>
    <row r="119">
      <c r="A119" s="3"/>
      <c r="B119" s="28" t="s">
        <v>483</v>
      </c>
      <c r="C119" s="36" t="s">
        <v>484</v>
      </c>
      <c r="D119" s="35">
        <v>39.0</v>
      </c>
      <c r="E119" s="35">
        <v>45.0</v>
      </c>
      <c r="F119" s="36" t="s">
        <v>485</v>
      </c>
      <c r="G119" s="17"/>
      <c r="H119" s="21"/>
    </row>
    <row r="120">
      <c r="A120" s="3"/>
      <c r="B120" s="28" t="s">
        <v>486</v>
      </c>
      <c r="C120" s="36" t="s">
        <v>487</v>
      </c>
      <c r="D120" s="35">
        <v>35.0</v>
      </c>
      <c r="E120" s="35">
        <v>40.0</v>
      </c>
      <c r="F120" s="36" t="s">
        <v>488</v>
      </c>
      <c r="G120" s="17"/>
      <c r="H120" s="21"/>
    </row>
    <row r="121">
      <c r="A121" s="3"/>
      <c r="B121" s="28" t="s">
        <v>489</v>
      </c>
      <c r="C121" s="36" t="s">
        <v>490</v>
      </c>
      <c r="D121" s="35">
        <v>30.0</v>
      </c>
      <c r="E121" s="35">
        <v>35.0</v>
      </c>
      <c r="F121" s="36" t="s">
        <v>491</v>
      </c>
      <c r="G121" s="17"/>
      <c r="H121" s="21"/>
    </row>
    <row r="122">
      <c r="A122" s="3"/>
      <c r="B122" s="37" t="s">
        <v>492</v>
      </c>
      <c r="C122" s="38" t="s">
        <v>493</v>
      </c>
      <c r="D122" s="39">
        <v>69.0</v>
      </c>
      <c r="E122" s="39">
        <v>79.0</v>
      </c>
      <c r="F122" s="40" t="s">
        <v>494</v>
      </c>
      <c r="G122" s="39">
        <v>69.0</v>
      </c>
      <c r="H122" s="41"/>
    </row>
    <row r="123">
      <c r="A123" s="3"/>
      <c r="B123" s="42" t="s">
        <v>495</v>
      </c>
      <c r="C123" s="26" t="s">
        <v>496</v>
      </c>
      <c r="D123" s="33">
        <v>69.0</v>
      </c>
      <c r="E123" s="33">
        <v>79.0</v>
      </c>
      <c r="F123" s="17" t="s">
        <v>497</v>
      </c>
      <c r="G123" s="33">
        <v>69.0</v>
      </c>
      <c r="H123" s="21"/>
    </row>
    <row r="124">
      <c r="A124" s="3"/>
      <c r="B124" s="42" t="s">
        <v>498</v>
      </c>
      <c r="C124" s="42" t="s">
        <v>499</v>
      </c>
      <c r="D124" s="35">
        <v>69.0</v>
      </c>
      <c r="E124" s="43">
        <v>79.0</v>
      </c>
      <c r="F124" s="8" t="s">
        <v>500</v>
      </c>
      <c r="G124" s="17"/>
      <c r="H124" s="21"/>
    </row>
    <row r="125">
      <c r="A125" s="3"/>
      <c r="B125" s="37" t="s">
        <v>501</v>
      </c>
      <c r="C125" s="38" t="s">
        <v>502</v>
      </c>
      <c r="D125" s="39">
        <v>69.0</v>
      </c>
      <c r="E125" s="39">
        <v>69.0</v>
      </c>
      <c r="F125" s="40" t="s">
        <v>503</v>
      </c>
      <c r="G125" s="39">
        <v>59.0</v>
      </c>
      <c r="H125" s="41"/>
    </row>
    <row r="126">
      <c r="A126" s="3"/>
      <c r="B126" s="37" t="s">
        <v>504</v>
      </c>
      <c r="C126" s="38" t="s">
        <v>505</v>
      </c>
      <c r="D126" s="39">
        <v>75.0</v>
      </c>
      <c r="E126" s="39">
        <v>75.0</v>
      </c>
      <c r="F126" s="40" t="s">
        <v>506</v>
      </c>
      <c r="G126" s="39">
        <v>65.0</v>
      </c>
      <c r="H126" s="40"/>
    </row>
    <row r="127">
      <c r="A127" s="3"/>
      <c r="B127" s="37" t="s">
        <v>507</v>
      </c>
      <c r="C127" s="38" t="s">
        <v>508</v>
      </c>
      <c r="D127" s="39">
        <v>59.0</v>
      </c>
      <c r="E127" s="39">
        <v>59.0</v>
      </c>
      <c r="F127" s="40" t="s">
        <v>509</v>
      </c>
      <c r="G127" s="39">
        <v>69.0</v>
      </c>
      <c r="H127" s="41"/>
    </row>
    <row r="128">
      <c r="A128" s="3"/>
      <c r="B128" s="37" t="s">
        <v>510</v>
      </c>
      <c r="C128" s="38" t="s">
        <v>511</v>
      </c>
      <c r="D128" s="39">
        <v>65.0</v>
      </c>
      <c r="E128" s="39">
        <v>65.0</v>
      </c>
      <c r="F128" s="40" t="s">
        <v>512</v>
      </c>
      <c r="G128" s="39">
        <v>75.0</v>
      </c>
      <c r="H128" s="40"/>
    </row>
    <row r="129">
      <c r="A129" s="3"/>
      <c r="B129" s="28" t="s">
        <v>513</v>
      </c>
      <c r="C129" s="17" t="s">
        <v>514</v>
      </c>
      <c r="D129" s="33">
        <v>39.0</v>
      </c>
      <c r="E129" s="33">
        <v>49.0</v>
      </c>
      <c r="F129" s="17" t="s">
        <v>515</v>
      </c>
      <c r="G129" s="17"/>
      <c r="H129" s="17"/>
    </row>
    <row r="130">
      <c r="A130" s="3"/>
      <c r="B130" s="28" t="s">
        <v>516</v>
      </c>
      <c r="C130" s="17" t="s">
        <v>517</v>
      </c>
      <c r="D130" s="33">
        <v>49.0</v>
      </c>
      <c r="E130" s="33">
        <v>59.0</v>
      </c>
      <c r="F130" s="17" t="s">
        <v>518</v>
      </c>
      <c r="G130" s="17"/>
      <c r="H130" s="17"/>
    </row>
    <row r="131">
      <c r="A131" s="3"/>
      <c r="B131" s="28" t="s">
        <v>519</v>
      </c>
      <c r="C131" s="26" t="s">
        <v>520</v>
      </c>
      <c r="D131" s="33">
        <v>69.0</v>
      </c>
      <c r="E131" s="33">
        <v>79.0</v>
      </c>
      <c r="F131" s="17" t="s">
        <v>521</v>
      </c>
      <c r="G131" s="33">
        <v>79.0</v>
      </c>
      <c r="H131" s="17"/>
    </row>
    <row r="132">
      <c r="A132" s="3"/>
      <c r="B132" s="28" t="s">
        <v>522</v>
      </c>
      <c r="C132" s="26" t="s">
        <v>523</v>
      </c>
      <c r="D132" s="33">
        <v>69.0</v>
      </c>
      <c r="E132" s="33">
        <v>69.0</v>
      </c>
      <c r="F132" s="26" t="s">
        <v>524</v>
      </c>
      <c r="G132" s="33">
        <v>69.0</v>
      </c>
      <c r="H132" s="17"/>
    </row>
    <row r="133">
      <c r="A133" s="3"/>
      <c r="B133" s="28" t="s">
        <v>525</v>
      </c>
      <c r="C133" s="26" t="s">
        <v>526</v>
      </c>
      <c r="D133" s="33">
        <v>59.0</v>
      </c>
      <c r="E133" s="33">
        <v>59.0</v>
      </c>
      <c r="F133" s="26" t="s">
        <v>527</v>
      </c>
      <c r="G133" s="33">
        <v>59.0</v>
      </c>
      <c r="H133" s="17"/>
    </row>
    <row r="134">
      <c r="A134" s="3"/>
      <c r="B134" s="28" t="s">
        <v>528</v>
      </c>
      <c r="C134" s="26" t="s">
        <v>529</v>
      </c>
      <c r="D134" s="33">
        <v>79.0</v>
      </c>
      <c r="E134" s="33">
        <v>89.0</v>
      </c>
      <c r="F134" s="26" t="s">
        <v>530</v>
      </c>
      <c r="G134" s="17"/>
      <c r="H134" s="17"/>
    </row>
    <row r="135">
      <c r="A135" s="12"/>
      <c r="B135" s="28" t="s">
        <v>531</v>
      </c>
      <c r="C135" s="26" t="s">
        <v>532</v>
      </c>
      <c r="D135" s="33">
        <v>79.0</v>
      </c>
      <c r="E135" s="33">
        <v>89.0</v>
      </c>
      <c r="F135" s="26" t="s">
        <v>533</v>
      </c>
      <c r="G135" s="17"/>
      <c r="H135" s="17"/>
    </row>
    <row r="136">
      <c r="A136" s="44" t="s">
        <v>534</v>
      </c>
      <c r="B136" s="31" t="s">
        <v>535</v>
      </c>
      <c r="C136" s="31" t="s">
        <v>536</v>
      </c>
      <c r="D136" s="45">
        <v>185.0</v>
      </c>
      <c r="E136" s="31"/>
      <c r="F136" s="31"/>
      <c r="G136" s="31"/>
      <c r="H136" s="31"/>
    </row>
    <row r="137">
      <c r="A137" s="3"/>
      <c r="B137" s="31" t="s">
        <v>537</v>
      </c>
      <c r="C137" s="31" t="s">
        <v>538</v>
      </c>
      <c r="D137" s="45">
        <v>189.0</v>
      </c>
      <c r="E137" s="31"/>
      <c r="F137" s="31"/>
      <c r="G137" s="31"/>
      <c r="H137" s="31"/>
    </row>
    <row r="138">
      <c r="A138" s="3"/>
      <c r="B138" s="31" t="s">
        <v>539</v>
      </c>
      <c r="C138" s="31" t="s">
        <v>540</v>
      </c>
      <c r="D138" s="45">
        <v>259.0</v>
      </c>
      <c r="E138" s="31"/>
      <c r="F138" s="31"/>
      <c r="G138" s="31"/>
      <c r="H138" s="31"/>
    </row>
    <row r="139">
      <c r="A139" s="3"/>
      <c r="B139" s="31" t="s">
        <v>541</v>
      </c>
      <c r="C139" s="31" t="s">
        <v>542</v>
      </c>
      <c r="D139" s="45">
        <v>195.0</v>
      </c>
      <c r="E139" s="31"/>
      <c r="F139" s="31"/>
      <c r="G139" s="31"/>
      <c r="H139" s="31"/>
    </row>
    <row r="140">
      <c r="A140" s="3"/>
      <c r="B140" s="46" t="s">
        <v>543</v>
      </c>
      <c r="C140" s="46" t="s">
        <v>544</v>
      </c>
      <c r="D140" s="47">
        <v>79.0</v>
      </c>
      <c r="E140" s="46">
        <v>109.0</v>
      </c>
      <c r="F140" s="48"/>
      <c r="G140" s="48"/>
      <c r="H140" s="48"/>
    </row>
    <row r="141">
      <c r="A141" s="12"/>
      <c r="B141" s="46" t="s">
        <v>543</v>
      </c>
      <c r="C141" s="46" t="s">
        <v>545</v>
      </c>
      <c r="D141" s="47">
        <v>79.0</v>
      </c>
      <c r="E141" s="46">
        <v>109.0</v>
      </c>
      <c r="F141" s="48"/>
      <c r="G141" s="48"/>
      <c r="H141" s="48"/>
    </row>
  </sheetData>
  <mergeCells count="13">
    <mergeCell ref="A74:A79"/>
    <mergeCell ref="A80:A89"/>
    <mergeCell ref="A91:A102"/>
    <mergeCell ref="A103:A113"/>
    <mergeCell ref="A114:A135"/>
    <mergeCell ref="A136:A141"/>
    <mergeCell ref="A2:A55"/>
    <mergeCell ref="G2:G24"/>
    <mergeCell ref="G25:G43"/>
    <mergeCell ref="G44:G48"/>
    <mergeCell ref="G49:G53"/>
    <mergeCell ref="A56:A64"/>
    <mergeCell ref="A65:A7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63"/>
    <col customWidth="1" min="3" max="3" width="44.0"/>
    <col customWidth="1" min="5" max="5" width="34.88"/>
  </cols>
  <sheetData>
    <row r="1">
      <c r="A1" s="49" t="s">
        <v>97</v>
      </c>
      <c r="B1" s="50" t="s">
        <v>546</v>
      </c>
      <c r="C1" s="50" t="s">
        <v>547</v>
      </c>
      <c r="D1" s="50" t="s">
        <v>548</v>
      </c>
      <c r="E1" s="36" t="s">
        <v>549</v>
      </c>
    </row>
    <row r="2">
      <c r="A2" s="51" t="s">
        <v>550</v>
      </c>
      <c r="B2" s="52" t="s">
        <v>551</v>
      </c>
      <c r="C2" s="53" t="s">
        <v>552</v>
      </c>
      <c r="D2" s="54">
        <v>0.0</v>
      </c>
      <c r="E2" s="53" t="s">
        <v>553</v>
      </c>
    </row>
    <row r="3">
      <c r="A3" s="3"/>
      <c r="B3" s="3"/>
      <c r="C3" s="53" t="s">
        <v>554</v>
      </c>
      <c r="D3" s="54">
        <v>5.0</v>
      </c>
      <c r="E3" s="53" t="s">
        <v>555</v>
      </c>
    </row>
    <row r="4">
      <c r="A4" s="3"/>
      <c r="B4" s="3"/>
      <c r="C4" s="53"/>
      <c r="D4" s="53"/>
      <c r="E4" s="53" t="s">
        <v>556</v>
      </c>
    </row>
    <row r="5">
      <c r="A5" s="3"/>
      <c r="B5" s="3"/>
      <c r="C5" s="53"/>
      <c r="D5" s="53"/>
      <c r="E5" s="53" t="s">
        <v>557</v>
      </c>
    </row>
    <row r="6">
      <c r="A6" s="3"/>
      <c r="B6" s="3"/>
      <c r="C6" s="53"/>
      <c r="D6" s="53"/>
      <c r="E6" s="53" t="s">
        <v>260</v>
      </c>
    </row>
    <row r="7">
      <c r="A7" s="3"/>
      <c r="B7" s="3"/>
      <c r="C7" s="53"/>
      <c r="D7" s="53"/>
      <c r="E7" s="53" t="s">
        <v>265</v>
      </c>
    </row>
    <row r="8">
      <c r="A8" s="3"/>
      <c r="B8" s="3"/>
      <c r="C8" s="53"/>
      <c r="D8" s="53"/>
      <c r="E8" s="53" t="s">
        <v>558</v>
      </c>
    </row>
    <row r="9">
      <c r="A9" s="3"/>
      <c r="B9" s="3"/>
      <c r="C9" s="53"/>
      <c r="D9" s="53"/>
      <c r="E9" s="53" t="s">
        <v>559</v>
      </c>
    </row>
    <row r="10">
      <c r="A10" s="3"/>
      <c r="B10" s="3"/>
      <c r="C10" s="53"/>
      <c r="D10" s="53"/>
      <c r="E10" s="53" t="s">
        <v>280</v>
      </c>
    </row>
    <row r="11">
      <c r="A11" s="3"/>
      <c r="B11" s="3"/>
      <c r="C11" s="53"/>
      <c r="D11" s="53"/>
      <c r="E11" s="53" t="s">
        <v>283</v>
      </c>
    </row>
    <row r="12">
      <c r="A12" s="3"/>
      <c r="B12" s="3"/>
      <c r="C12" s="53"/>
      <c r="D12" s="53"/>
      <c r="E12" s="53" t="s">
        <v>560</v>
      </c>
    </row>
    <row r="13">
      <c r="A13" s="3"/>
      <c r="B13" s="3"/>
      <c r="C13" s="53"/>
      <c r="D13" s="53"/>
      <c r="E13" s="53" t="s">
        <v>290</v>
      </c>
    </row>
    <row r="14">
      <c r="A14" s="3"/>
      <c r="B14" s="3"/>
      <c r="C14" s="53"/>
      <c r="D14" s="53"/>
      <c r="E14" s="53" t="s">
        <v>561</v>
      </c>
    </row>
    <row r="15">
      <c r="A15" s="3"/>
      <c r="B15" s="3"/>
      <c r="C15" s="53"/>
      <c r="D15" s="53"/>
      <c r="E15" s="53" t="s">
        <v>298</v>
      </c>
    </row>
    <row r="16">
      <c r="A16" s="3"/>
      <c r="B16" s="3"/>
      <c r="C16" s="53"/>
      <c r="D16" s="53"/>
      <c r="E16" s="53" t="s">
        <v>562</v>
      </c>
    </row>
    <row r="17">
      <c r="A17" s="3"/>
      <c r="B17" s="3"/>
      <c r="C17" s="53"/>
      <c r="D17" s="53"/>
      <c r="E17" s="53" t="s">
        <v>326</v>
      </c>
    </row>
    <row r="18">
      <c r="A18" s="3"/>
      <c r="B18" s="3"/>
      <c r="C18" s="53"/>
      <c r="D18" s="53"/>
      <c r="E18" s="53" t="s">
        <v>563</v>
      </c>
    </row>
    <row r="19">
      <c r="A19" s="3"/>
      <c r="B19" s="3"/>
      <c r="C19" s="53"/>
      <c r="D19" s="53"/>
      <c r="E19" s="53" t="s">
        <v>564</v>
      </c>
    </row>
    <row r="20">
      <c r="A20" s="3"/>
      <c r="B20" s="3"/>
      <c r="C20" s="53"/>
      <c r="D20" s="53"/>
      <c r="E20" s="53" t="s">
        <v>323</v>
      </c>
    </row>
    <row r="21">
      <c r="A21" s="3"/>
      <c r="B21" s="3"/>
      <c r="C21" s="53"/>
      <c r="D21" s="53"/>
      <c r="E21" s="53" t="s">
        <v>565</v>
      </c>
    </row>
    <row r="22">
      <c r="A22" s="3"/>
      <c r="B22" s="3"/>
      <c r="C22" s="53"/>
      <c r="D22" s="53"/>
      <c r="E22" s="53" t="s">
        <v>319</v>
      </c>
    </row>
    <row r="23">
      <c r="A23" s="3"/>
      <c r="B23" s="3"/>
      <c r="C23" s="53"/>
      <c r="D23" s="53"/>
      <c r="E23" s="53" t="s">
        <v>310</v>
      </c>
    </row>
    <row r="24">
      <c r="A24" s="3"/>
      <c r="B24" s="3"/>
      <c r="C24" s="53"/>
      <c r="D24" s="53"/>
      <c r="E24" s="53" t="s">
        <v>359</v>
      </c>
    </row>
    <row r="25">
      <c r="A25" s="3"/>
      <c r="B25" s="3"/>
      <c r="C25" s="53"/>
      <c r="D25" s="53"/>
      <c r="E25" s="53" t="s">
        <v>355</v>
      </c>
    </row>
    <row r="26">
      <c r="A26" s="3"/>
      <c r="B26" s="3"/>
      <c r="C26" s="53"/>
      <c r="D26" s="53"/>
      <c r="E26" s="53" t="s">
        <v>352</v>
      </c>
    </row>
    <row r="27">
      <c r="A27" s="3"/>
      <c r="B27" s="3"/>
      <c r="C27" s="53"/>
      <c r="D27" s="53"/>
      <c r="E27" s="55" t="s">
        <v>348</v>
      </c>
    </row>
    <row r="28">
      <c r="A28" s="3"/>
      <c r="B28" s="3"/>
      <c r="C28" s="53"/>
      <c r="D28" s="53"/>
      <c r="E28" s="53" t="s">
        <v>344</v>
      </c>
    </row>
    <row r="29">
      <c r="A29" s="3"/>
      <c r="B29" s="3"/>
      <c r="C29" s="53"/>
      <c r="D29" s="53"/>
      <c r="E29" s="53" t="s">
        <v>340</v>
      </c>
    </row>
    <row r="30">
      <c r="A30" s="3"/>
      <c r="B30" s="3"/>
      <c r="C30" s="53"/>
      <c r="D30" s="53"/>
      <c r="E30" s="53" t="s">
        <v>566</v>
      </c>
    </row>
    <row r="31">
      <c r="A31" s="3"/>
      <c r="B31" s="3"/>
      <c r="C31" s="53"/>
      <c r="D31" s="53"/>
      <c r="E31" s="53" t="s">
        <v>567</v>
      </c>
    </row>
    <row r="32">
      <c r="A32" s="3"/>
      <c r="B32" s="3"/>
      <c r="C32" s="53"/>
      <c r="D32" s="53"/>
      <c r="E32" s="53" t="s">
        <v>379</v>
      </c>
    </row>
    <row r="33">
      <c r="A33" s="3"/>
      <c r="B33" s="3"/>
      <c r="C33" s="53"/>
      <c r="D33" s="53"/>
      <c r="E33" s="53" t="s">
        <v>367</v>
      </c>
    </row>
    <row r="34">
      <c r="A34" s="3"/>
      <c r="B34" s="3"/>
      <c r="C34" s="53"/>
      <c r="D34" s="53"/>
      <c r="E34" s="53" t="s">
        <v>307</v>
      </c>
    </row>
    <row r="35">
      <c r="A35" s="3"/>
      <c r="B35" s="3"/>
      <c r="C35" s="53"/>
      <c r="D35" s="53"/>
      <c r="E35" s="53" t="s">
        <v>411</v>
      </c>
    </row>
    <row r="36">
      <c r="A36" s="3"/>
      <c r="B36" s="3"/>
      <c r="C36" s="53"/>
      <c r="D36" s="53"/>
      <c r="E36" s="53" t="s">
        <v>568</v>
      </c>
    </row>
    <row r="37">
      <c r="A37" s="3"/>
      <c r="B37" s="3"/>
      <c r="C37" s="53"/>
      <c r="D37" s="53"/>
      <c r="E37" s="53" t="s">
        <v>569</v>
      </c>
    </row>
    <row r="38">
      <c r="A38" s="3"/>
      <c r="B38" s="3"/>
      <c r="C38" s="53"/>
      <c r="D38" s="53"/>
      <c r="E38" s="53" t="s">
        <v>404</v>
      </c>
    </row>
    <row r="39">
      <c r="A39" s="3"/>
      <c r="B39" s="3"/>
      <c r="C39" s="53"/>
      <c r="D39" s="53"/>
      <c r="E39" s="53" t="s">
        <v>407</v>
      </c>
    </row>
    <row r="40">
      <c r="A40" s="3"/>
      <c r="B40" s="3"/>
      <c r="C40" s="53"/>
      <c r="D40" s="53"/>
      <c r="E40" s="53" t="s">
        <v>400</v>
      </c>
    </row>
    <row r="41">
      <c r="A41" s="3"/>
      <c r="B41" s="3"/>
      <c r="C41" s="53"/>
      <c r="D41" s="53"/>
      <c r="E41" s="53" t="s">
        <v>422</v>
      </c>
    </row>
    <row r="42">
      <c r="A42" s="3"/>
      <c r="B42" s="3"/>
      <c r="C42" s="53"/>
      <c r="D42" s="53"/>
      <c r="E42" s="56" t="s">
        <v>382</v>
      </c>
    </row>
    <row r="43">
      <c r="A43" s="3"/>
      <c r="B43" s="3"/>
      <c r="C43" s="53"/>
      <c r="D43" s="53"/>
      <c r="E43" s="56" t="s">
        <v>386</v>
      </c>
    </row>
    <row r="44">
      <c r="A44" s="3"/>
      <c r="B44" s="3"/>
      <c r="C44" s="53"/>
      <c r="D44" s="53"/>
      <c r="E44" s="56" t="s">
        <v>390</v>
      </c>
    </row>
    <row r="45">
      <c r="A45" s="12"/>
      <c r="B45" s="12"/>
      <c r="C45" s="53"/>
      <c r="D45" s="53"/>
      <c r="E45" s="56" t="s">
        <v>393</v>
      </c>
    </row>
    <row r="46">
      <c r="A46" s="51" t="s">
        <v>570</v>
      </c>
      <c r="B46" s="57" t="s">
        <v>571</v>
      </c>
      <c r="C46" s="16" t="s">
        <v>572</v>
      </c>
      <c r="D46" s="16"/>
      <c r="E46" s="16" t="s">
        <v>573</v>
      </c>
    </row>
    <row r="47">
      <c r="A47" s="3"/>
      <c r="B47" s="3"/>
      <c r="C47" s="16"/>
      <c r="D47" s="16"/>
      <c r="E47" s="16" t="s">
        <v>574</v>
      </c>
    </row>
    <row r="48">
      <c r="A48" s="12"/>
      <c r="B48" s="12"/>
      <c r="C48" s="16"/>
      <c r="D48" s="16"/>
      <c r="E48" s="16" t="s">
        <v>575</v>
      </c>
    </row>
    <row r="49">
      <c r="A49" s="51" t="s">
        <v>576</v>
      </c>
      <c r="B49" s="58" t="s">
        <v>577</v>
      </c>
      <c r="C49" s="59" t="s">
        <v>578</v>
      </c>
      <c r="D49" s="60">
        <v>0.0</v>
      </c>
      <c r="E49" s="59" t="s">
        <v>555</v>
      </c>
    </row>
    <row r="50">
      <c r="A50" s="3"/>
      <c r="B50" s="3"/>
      <c r="C50" s="59" t="s">
        <v>579</v>
      </c>
      <c r="D50" s="60">
        <v>0.0</v>
      </c>
      <c r="E50" s="59" t="s">
        <v>556</v>
      </c>
    </row>
    <row r="51">
      <c r="A51" s="3"/>
      <c r="B51" s="3"/>
      <c r="C51" s="59"/>
      <c r="D51" s="59"/>
      <c r="E51" s="59" t="s">
        <v>557</v>
      </c>
    </row>
    <row r="52">
      <c r="A52" s="3"/>
      <c r="B52" s="3"/>
      <c r="C52" s="59"/>
      <c r="D52" s="59"/>
      <c r="E52" s="59" t="s">
        <v>260</v>
      </c>
    </row>
    <row r="53">
      <c r="A53" s="3"/>
      <c r="B53" s="3"/>
      <c r="C53" s="59"/>
      <c r="D53" s="59"/>
      <c r="E53" s="59" t="s">
        <v>265</v>
      </c>
    </row>
    <row r="54">
      <c r="A54" s="3"/>
      <c r="B54" s="3"/>
      <c r="C54" s="59"/>
      <c r="D54" s="59"/>
      <c r="E54" s="59" t="s">
        <v>271</v>
      </c>
    </row>
    <row r="55">
      <c r="A55" s="3"/>
      <c r="B55" s="3"/>
      <c r="C55" s="59"/>
      <c r="D55" s="59"/>
      <c r="E55" s="59" t="s">
        <v>559</v>
      </c>
    </row>
    <row r="56">
      <c r="A56" s="3"/>
      <c r="B56" s="3"/>
      <c r="C56" s="59"/>
      <c r="D56" s="59"/>
      <c r="E56" s="59" t="s">
        <v>280</v>
      </c>
    </row>
    <row r="57">
      <c r="A57" s="3"/>
      <c r="B57" s="3"/>
      <c r="C57" s="59"/>
      <c r="D57" s="59"/>
      <c r="E57" s="59" t="s">
        <v>283</v>
      </c>
    </row>
    <row r="58">
      <c r="A58" s="3"/>
      <c r="B58" s="3"/>
      <c r="C58" s="59"/>
      <c r="D58" s="59"/>
      <c r="E58" s="59" t="s">
        <v>560</v>
      </c>
    </row>
    <row r="59">
      <c r="A59" s="3"/>
      <c r="B59" s="3"/>
      <c r="C59" s="59"/>
      <c r="D59" s="59"/>
      <c r="E59" s="59" t="s">
        <v>298</v>
      </c>
    </row>
    <row r="60">
      <c r="A60" s="3"/>
      <c r="B60" s="3"/>
      <c r="C60" s="59"/>
      <c r="D60" s="59"/>
      <c r="E60" s="59" t="s">
        <v>310</v>
      </c>
    </row>
    <row r="61">
      <c r="A61" s="3"/>
      <c r="B61" s="3"/>
      <c r="C61" s="59"/>
      <c r="D61" s="59"/>
      <c r="E61" s="59" t="s">
        <v>335</v>
      </c>
    </row>
    <row r="62">
      <c r="A62" s="12"/>
      <c r="B62" s="12"/>
      <c r="C62" s="59"/>
      <c r="D62" s="59"/>
      <c r="E62" s="59" t="s">
        <v>319</v>
      </c>
    </row>
    <row r="63">
      <c r="A63" s="51" t="s">
        <v>580</v>
      </c>
      <c r="B63" s="61" t="s">
        <v>581</v>
      </c>
      <c r="C63" s="62" t="s">
        <v>582</v>
      </c>
      <c r="D63" s="63">
        <v>0.0</v>
      </c>
      <c r="E63" s="62" t="s">
        <v>553</v>
      </c>
    </row>
    <row r="64">
      <c r="A64" s="3"/>
      <c r="B64" s="3"/>
      <c r="C64" s="62" t="s">
        <v>583</v>
      </c>
      <c r="D64" s="63">
        <v>0.0</v>
      </c>
      <c r="E64" s="62"/>
    </row>
    <row r="65">
      <c r="A65" s="12"/>
      <c r="B65" s="12"/>
      <c r="C65" s="62" t="s">
        <v>584</v>
      </c>
      <c r="D65" s="63">
        <v>0.0</v>
      </c>
      <c r="E65" s="62"/>
    </row>
    <row r="66">
      <c r="A66" s="51" t="s">
        <v>585</v>
      </c>
      <c r="B66" s="64" t="s">
        <v>586</v>
      </c>
      <c r="C66" s="65" t="s">
        <v>587</v>
      </c>
      <c r="D66" s="66">
        <v>0.0</v>
      </c>
      <c r="E66" s="65" t="s">
        <v>553</v>
      </c>
    </row>
    <row r="67">
      <c r="A67" s="3"/>
      <c r="B67" s="3"/>
      <c r="C67" s="65" t="s">
        <v>588</v>
      </c>
      <c r="D67" s="66">
        <v>0.0</v>
      </c>
      <c r="E67" s="65"/>
    </row>
    <row r="68">
      <c r="A68" s="3"/>
      <c r="B68" s="3"/>
      <c r="C68" s="65" t="s">
        <v>589</v>
      </c>
      <c r="D68" s="66">
        <v>30.0</v>
      </c>
      <c r="E68" s="65"/>
    </row>
    <row r="69">
      <c r="A69" s="3"/>
      <c r="B69" s="3"/>
      <c r="C69" s="65" t="s">
        <v>590</v>
      </c>
      <c r="D69" s="66">
        <v>30.0</v>
      </c>
      <c r="E69" s="65"/>
    </row>
    <row r="70">
      <c r="A70" s="3"/>
      <c r="B70" s="3"/>
      <c r="C70" s="65" t="s">
        <v>591</v>
      </c>
      <c r="D70" s="66">
        <v>35.0</v>
      </c>
      <c r="E70" s="65"/>
    </row>
    <row r="71">
      <c r="A71" s="3"/>
      <c r="B71" s="3"/>
      <c r="C71" s="67" t="s">
        <v>592</v>
      </c>
      <c r="D71" s="68">
        <v>30.0</v>
      </c>
      <c r="E71" s="65"/>
    </row>
    <row r="72">
      <c r="A72" s="3"/>
      <c r="B72" s="3"/>
      <c r="C72" s="65" t="s">
        <v>593</v>
      </c>
      <c r="D72" s="66">
        <v>35.0</v>
      </c>
      <c r="E72" s="65"/>
    </row>
    <row r="73">
      <c r="A73" s="12"/>
      <c r="B73" s="12"/>
      <c r="C73" s="65" t="s">
        <v>594</v>
      </c>
      <c r="D73" s="66">
        <v>35.0</v>
      </c>
      <c r="E73" s="65"/>
    </row>
    <row r="74">
      <c r="A74" s="51" t="s">
        <v>595</v>
      </c>
      <c r="B74" s="52" t="s">
        <v>596</v>
      </c>
      <c r="C74" s="53" t="s">
        <v>587</v>
      </c>
      <c r="D74" s="54">
        <v>0.0</v>
      </c>
      <c r="E74" s="53" t="s">
        <v>556</v>
      </c>
    </row>
    <row r="75">
      <c r="A75" s="3"/>
      <c r="B75" s="3"/>
      <c r="C75" s="53" t="s">
        <v>588</v>
      </c>
      <c r="D75" s="54">
        <v>0.0</v>
      </c>
      <c r="E75" s="53" t="s">
        <v>260</v>
      </c>
    </row>
    <row r="76">
      <c r="A76" s="3"/>
      <c r="B76" s="3"/>
      <c r="C76" s="53" t="s">
        <v>589</v>
      </c>
      <c r="D76" s="54">
        <v>30.0</v>
      </c>
      <c r="E76" s="53"/>
    </row>
    <row r="77">
      <c r="A77" s="3"/>
      <c r="B77" s="3"/>
      <c r="C77" s="53" t="s">
        <v>590</v>
      </c>
      <c r="D77" s="54">
        <v>30.0</v>
      </c>
      <c r="E77" s="53"/>
    </row>
    <row r="78">
      <c r="A78" s="3"/>
      <c r="B78" s="3"/>
      <c r="C78" s="53" t="s">
        <v>591</v>
      </c>
      <c r="D78" s="54">
        <v>35.0</v>
      </c>
      <c r="E78" s="53"/>
    </row>
    <row r="79">
      <c r="A79" s="12"/>
      <c r="B79" s="12"/>
      <c r="C79" s="69" t="s">
        <v>592</v>
      </c>
      <c r="D79" s="70">
        <v>30.0</v>
      </c>
      <c r="E79" s="53"/>
    </row>
    <row r="80">
      <c r="A80" s="51" t="s">
        <v>597</v>
      </c>
      <c r="B80" s="71" t="s">
        <v>598</v>
      </c>
      <c r="C80" s="72" t="s">
        <v>599</v>
      </c>
      <c r="D80" s="73">
        <v>0.0</v>
      </c>
      <c r="E80" s="72" t="s">
        <v>271</v>
      </c>
    </row>
    <row r="81">
      <c r="A81" s="3"/>
      <c r="B81" s="3"/>
      <c r="C81" s="72" t="s">
        <v>588</v>
      </c>
      <c r="D81" s="73">
        <v>0.0</v>
      </c>
      <c r="E81" s="72" t="s">
        <v>276</v>
      </c>
    </row>
    <row r="82">
      <c r="A82" s="3"/>
      <c r="B82" s="3"/>
      <c r="C82" s="72"/>
      <c r="D82" s="72"/>
      <c r="E82" s="72" t="s">
        <v>280</v>
      </c>
    </row>
    <row r="83">
      <c r="A83" s="3"/>
      <c r="B83" s="3"/>
      <c r="C83" s="72"/>
      <c r="D83" s="72"/>
      <c r="E83" s="72" t="s">
        <v>560</v>
      </c>
    </row>
    <row r="84">
      <c r="A84" s="3"/>
      <c r="B84" s="3"/>
      <c r="C84" s="72"/>
      <c r="D84" s="72"/>
      <c r="E84" s="72" t="s">
        <v>422</v>
      </c>
    </row>
    <row r="85">
      <c r="A85" s="3"/>
      <c r="B85" s="3"/>
      <c r="C85" s="72"/>
      <c r="D85" s="72"/>
      <c r="E85" s="72" t="s">
        <v>404</v>
      </c>
    </row>
    <row r="86">
      <c r="A86" s="3"/>
      <c r="B86" s="3"/>
      <c r="C86" s="72"/>
      <c r="D86" s="72"/>
      <c r="E86" s="72" t="s">
        <v>283</v>
      </c>
    </row>
    <row r="87">
      <c r="A87" s="3"/>
      <c r="B87" s="3"/>
      <c r="C87" s="72"/>
      <c r="D87" s="72"/>
      <c r="E87" s="72" t="s">
        <v>298</v>
      </c>
    </row>
    <row r="88">
      <c r="A88" s="3"/>
      <c r="B88" s="3"/>
      <c r="C88" s="72"/>
      <c r="D88" s="72"/>
      <c r="E88" s="72" t="s">
        <v>400</v>
      </c>
    </row>
    <row r="89">
      <c r="A89" s="3"/>
      <c r="B89" s="3"/>
      <c r="C89" s="72"/>
      <c r="D89" s="72"/>
      <c r="E89" s="72" t="s">
        <v>428</v>
      </c>
    </row>
    <row r="90">
      <c r="A90" s="3"/>
      <c r="B90" s="3"/>
      <c r="C90" s="72"/>
      <c r="D90" s="72"/>
      <c r="E90" s="72"/>
    </row>
    <row r="91">
      <c r="A91" s="12"/>
      <c r="B91" s="12"/>
      <c r="C91" s="72"/>
      <c r="D91" s="72"/>
      <c r="E91" s="72" t="s">
        <v>600</v>
      </c>
    </row>
    <row r="92">
      <c r="A92" s="51" t="s">
        <v>601</v>
      </c>
      <c r="B92" s="74" t="s">
        <v>602</v>
      </c>
      <c r="C92" s="75" t="s">
        <v>589</v>
      </c>
      <c r="D92" s="76">
        <v>0.0</v>
      </c>
      <c r="E92" s="75" t="s">
        <v>603</v>
      </c>
    </row>
    <row r="93">
      <c r="A93" s="3"/>
      <c r="B93" s="3"/>
      <c r="C93" s="75" t="s">
        <v>588</v>
      </c>
      <c r="D93" s="76">
        <v>0.0</v>
      </c>
      <c r="E93" s="75"/>
    </row>
    <row r="94">
      <c r="A94" s="3"/>
      <c r="B94" s="3"/>
      <c r="C94" s="75" t="s">
        <v>590</v>
      </c>
      <c r="D94" s="76">
        <v>30.0</v>
      </c>
      <c r="E94" s="75"/>
    </row>
    <row r="95">
      <c r="A95" s="3"/>
      <c r="B95" s="3"/>
      <c r="C95" s="75" t="s">
        <v>591</v>
      </c>
      <c r="D95" s="76">
        <v>35.0</v>
      </c>
      <c r="E95" s="75"/>
    </row>
    <row r="96">
      <c r="A96" s="3"/>
      <c r="B96" s="3"/>
      <c r="C96" s="77" t="s">
        <v>604</v>
      </c>
      <c r="D96" s="78">
        <v>30.0</v>
      </c>
      <c r="E96" s="75"/>
    </row>
    <row r="97">
      <c r="A97" s="3"/>
      <c r="B97" s="3"/>
      <c r="C97" s="75" t="s">
        <v>593</v>
      </c>
      <c r="D97" s="76">
        <v>35.0</v>
      </c>
      <c r="E97" s="75"/>
    </row>
    <row r="98">
      <c r="A98" s="12"/>
      <c r="B98" s="12"/>
      <c r="C98" s="75" t="s">
        <v>594</v>
      </c>
      <c r="D98" s="76">
        <v>35.0</v>
      </c>
      <c r="E98" s="75"/>
    </row>
    <row r="99">
      <c r="A99" s="49" t="s">
        <v>605</v>
      </c>
      <c r="B99" s="79" t="s">
        <v>606</v>
      </c>
      <c r="C99" s="80" t="s">
        <v>591</v>
      </c>
      <c r="D99" s="81">
        <v>0.0</v>
      </c>
      <c r="E99" s="80" t="s">
        <v>290</v>
      </c>
    </row>
    <row r="100">
      <c r="A100" s="51" t="s">
        <v>607</v>
      </c>
      <c r="B100" s="82" t="s">
        <v>608</v>
      </c>
      <c r="C100" s="83" t="s">
        <v>590</v>
      </c>
      <c r="D100" s="84">
        <v>0.0</v>
      </c>
      <c r="E100" s="83" t="s">
        <v>294</v>
      </c>
    </row>
    <row r="101">
      <c r="A101" s="3"/>
      <c r="B101" s="3"/>
      <c r="C101" s="83"/>
      <c r="D101" s="84"/>
      <c r="E101" s="83"/>
    </row>
    <row r="102">
      <c r="A102" s="3"/>
      <c r="B102" s="3"/>
      <c r="C102" s="83"/>
      <c r="D102" s="83"/>
      <c r="E102" s="83"/>
    </row>
    <row r="103">
      <c r="A103" s="3"/>
      <c r="B103" s="3"/>
      <c r="C103" s="83"/>
      <c r="D103" s="83"/>
      <c r="E103" s="83"/>
    </row>
    <row r="104">
      <c r="A104" s="12"/>
      <c r="B104" s="12"/>
      <c r="C104" s="83"/>
      <c r="D104" s="83"/>
      <c r="E104" s="83"/>
    </row>
    <row r="105">
      <c r="A105" s="51" t="s">
        <v>609</v>
      </c>
      <c r="B105" s="57" t="s">
        <v>610</v>
      </c>
      <c r="C105" s="16" t="s">
        <v>611</v>
      </c>
      <c r="D105" s="85">
        <v>0.0</v>
      </c>
      <c r="E105" s="16" t="s">
        <v>555</v>
      </c>
    </row>
    <row r="106">
      <c r="A106" s="3"/>
      <c r="B106" s="3"/>
      <c r="C106" s="16" t="s">
        <v>612</v>
      </c>
      <c r="D106" s="85">
        <v>20.0</v>
      </c>
      <c r="E106" s="16" t="s">
        <v>557</v>
      </c>
    </row>
    <row r="107">
      <c r="A107" s="3"/>
      <c r="B107" s="3"/>
      <c r="C107" s="16" t="s">
        <v>613</v>
      </c>
      <c r="D107" s="85">
        <v>25.0</v>
      </c>
      <c r="E107" s="16" t="s">
        <v>265</v>
      </c>
    </row>
    <row r="108">
      <c r="A108" s="3"/>
      <c r="B108" s="3"/>
      <c r="C108" s="16"/>
      <c r="D108" s="85"/>
      <c r="E108" s="16" t="s">
        <v>335</v>
      </c>
    </row>
    <row r="109">
      <c r="A109" s="3"/>
      <c r="B109" s="3"/>
      <c r="C109" s="16" t="s">
        <v>614</v>
      </c>
      <c r="D109" s="85">
        <v>10.0</v>
      </c>
      <c r="E109" s="16" t="s">
        <v>563</v>
      </c>
    </row>
    <row r="110">
      <c r="A110" s="3"/>
      <c r="B110" s="3"/>
      <c r="C110" s="16"/>
      <c r="D110" s="85"/>
      <c r="E110" s="16" t="s">
        <v>564</v>
      </c>
    </row>
    <row r="111">
      <c r="A111" s="3"/>
      <c r="B111" s="3"/>
      <c r="C111" s="16"/>
      <c r="D111" s="16"/>
      <c r="E111" s="16" t="s">
        <v>326</v>
      </c>
    </row>
    <row r="112">
      <c r="A112" s="3"/>
      <c r="B112" s="3"/>
      <c r="C112" s="16"/>
      <c r="D112" s="16"/>
      <c r="E112" s="16" t="s">
        <v>323</v>
      </c>
    </row>
    <row r="113">
      <c r="A113" s="3"/>
      <c r="B113" s="3"/>
      <c r="C113" s="16"/>
      <c r="D113" s="16"/>
      <c r="E113" s="16" t="s">
        <v>565</v>
      </c>
    </row>
    <row r="114">
      <c r="A114" s="3"/>
      <c r="B114" s="3"/>
      <c r="C114" s="16"/>
      <c r="D114" s="16"/>
      <c r="E114" s="16" t="s">
        <v>319</v>
      </c>
    </row>
    <row r="115">
      <c r="A115" s="12"/>
      <c r="B115" s="12"/>
      <c r="C115" s="16"/>
      <c r="D115" s="16"/>
      <c r="E115" s="16" t="s">
        <v>310</v>
      </c>
    </row>
    <row r="116">
      <c r="A116" s="51" t="s">
        <v>615</v>
      </c>
      <c r="B116" s="52" t="s">
        <v>616</v>
      </c>
      <c r="C116" s="53" t="s">
        <v>611</v>
      </c>
      <c r="D116" s="54">
        <v>0.0</v>
      </c>
      <c r="E116" s="53" t="s">
        <v>359</v>
      </c>
    </row>
    <row r="117">
      <c r="A117" s="3"/>
      <c r="B117" s="3"/>
      <c r="C117" s="53"/>
      <c r="D117" s="53"/>
      <c r="E117" s="53" t="s">
        <v>355</v>
      </c>
    </row>
    <row r="118">
      <c r="A118" s="3"/>
      <c r="B118" s="3"/>
      <c r="C118" s="53"/>
      <c r="D118" s="53"/>
      <c r="E118" s="53" t="s">
        <v>352</v>
      </c>
    </row>
    <row r="119">
      <c r="A119" s="3"/>
      <c r="B119" s="3"/>
      <c r="C119" s="53"/>
      <c r="D119" s="53"/>
      <c r="E119" s="53" t="s">
        <v>348</v>
      </c>
    </row>
    <row r="120">
      <c r="A120" s="3"/>
      <c r="B120" s="3"/>
      <c r="C120" s="53"/>
      <c r="D120" s="53"/>
      <c r="E120" s="53"/>
    </row>
    <row r="121">
      <c r="A121" s="3"/>
      <c r="B121" s="3"/>
      <c r="C121" s="53"/>
      <c r="D121" s="53"/>
      <c r="E121" s="53" t="s">
        <v>566</v>
      </c>
    </row>
    <row r="122">
      <c r="A122" s="3"/>
      <c r="B122" s="3"/>
      <c r="C122" s="53"/>
      <c r="D122" s="53"/>
      <c r="E122" s="53" t="s">
        <v>567</v>
      </c>
    </row>
    <row r="123">
      <c r="A123" s="3"/>
      <c r="B123" s="3"/>
      <c r="C123" s="53"/>
      <c r="D123" s="53"/>
      <c r="E123" s="53" t="s">
        <v>379</v>
      </c>
    </row>
    <row r="124">
      <c r="A124" s="3"/>
      <c r="B124" s="3"/>
      <c r="C124" s="53"/>
      <c r="D124" s="53"/>
      <c r="E124" s="53"/>
    </row>
    <row r="125">
      <c r="A125" s="3"/>
      <c r="B125" s="3"/>
      <c r="C125" s="53"/>
      <c r="D125" s="53"/>
      <c r="E125" s="53"/>
    </row>
    <row r="126">
      <c r="A126" s="3"/>
      <c r="B126" s="3"/>
      <c r="C126" s="53"/>
      <c r="D126" s="53"/>
      <c r="E126" s="53"/>
    </row>
    <row r="127">
      <c r="A127" s="3"/>
      <c r="B127" s="3"/>
      <c r="C127" s="53"/>
      <c r="D127" s="53"/>
      <c r="E127" s="53" t="s">
        <v>390</v>
      </c>
    </row>
    <row r="128">
      <c r="A128" s="12"/>
      <c r="B128" s="12"/>
      <c r="C128" s="53"/>
      <c r="D128" s="53"/>
      <c r="E128" s="53" t="s">
        <v>393</v>
      </c>
    </row>
    <row r="129">
      <c r="A129" s="49" t="s">
        <v>617</v>
      </c>
      <c r="B129" s="86" t="s">
        <v>618</v>
      </c>
      <c r="C129" s="87" t="s">
        <v>619</v>
      </c>
      <c r="D129" s="88">
        <v>0.0</v>
      </c>
      <c r="E129" s="87"/>
    </row>
    <row r="130">
      <c r="A130" s="89" t="s">
        <v>620</v>
      </c>
      <c r="B130" s="90" t="s">
        <v>621</v>
      </c>
      <c r="C130" s="91" t="s">
        <v>590</v>
      </c>
      <c r="D130" s="92">
        <v>0.0</v>
      </c>
      <c r="E130" s="91" t="s">
        <v>622</v>
      </c>
    </row>
    <row r="131">
      <c r="A131" s="3"/>
      <c r="B131" s="3"/>
      <c r="C131" s="91" t="s">
        <v>591</v>
      </c>
      <c r="D131" s="92">
        <v>5.0</v>
      </c>
      <c r="E131" s="91"/>
    </row>
    <row r="132">
      <c r="A132" s="12"/>
      <c r="B132" s="12"/>
      <c r="C132" s="91" t="s">
        <v>592</v>
      </c>
      <c r="D132" s="92">
        <v>10.0</v>
      </c>
      <c r="E132" s="91"/>
    </row>
    <row r="133">
      <c r="A133" s="51" t="s">
        <v>623</v>
      </c>
      <c r="B133" s="93" t="s">
        <v>624</v>
      </c>
      <c r="C133" s="94" t="s">
        <v>192</v>
      </c>
      <c r="D133" s="95">
        <v>0.0</v>
      </c>
      <c r="E133" s="94" t="s">
        <v>553</v>
      </c>
    </row>
    <row r="134">
      <c r="A134" s="3"/>
      <c r="B134" s="3"/>
      <c r="C134" s="94" t="s">
        <v>124</v>
      </c>
      <c r="D134" s="95">
        <v>40.0</v>
      </c>
      <c r="E134" s="94"/>
    </row>
    <row r="135">
      <c r="A135" s="3"/>
      <c r="B135" s="3"/>
      <c r="C135" s="94" t="s">
        <v>128</v>
      </c>
      <c r="D135" s="95">
        <v>111.0</v>
      </c>
      <c r="E135" s="94"/>
    </row>
    <row r="136">
      <c r="A136" s="12"/>
      <c r="B136" s="12"/>
      <c r="C136" s="94" t="s">
        <v>108</v>
      </c>
      <c r="D136" s="95">
        <v>251.0</v>
      </c>
      <c r="E136" s="94"/>
    </row>
    <row r="137">
      <c r="A137" s="51" t="s">
        <v>625</v>
      </c>
      <c r="B137" s="96" t="s">
        <v>626</v>
      </c>
      <c r="C137" s="97" t="s">
        <v>209</v>
      </c>
      <c r="D137" s="98">
        <v>0.0</v>
      </c>
      <c r="E137" s="97" t="s">
        <v>555</v>
      </c>
    </row>
    <row r="138">
      <c r="A138" s="3"/>
      <c r="B138" s="3"/>
      <c r="C138" s="97" t="s">
        <v>138</v>
      </c>
      <c r="D138" s="98">
        <v>24.0</v>
      </c>
      <c r="E138" s="97"/>
    </row>
    <row r="139">
      <c r="A139" s="3"/>
      <c r="B139" s="3"/>
      <c r="C139" s="97" t="s">
        <v>195</v>
      </c>
      <c r="D139" s="98">
        <v>24.0</v>
      </c>
      <c r="E139" s="97"/>
    </row>
    <row r="140">
      <c r="A140" s="3"/>
      <c r="B140" s="3"/>
      <c r="C140" s="97" t="s">
        <v>627</v>
      </c>
      <c r="D140" s="98">
        <v>64.0</v>
      </c>
      <c r="E140" s="97"/>
    </row>
    <row r="141">
      <c r="A141" s="3"/>
      <c r="B141" s="3"/>
      <c r="C141" s="97" t="s">
        <v>48</v>
      </c>
      <c r="D141" s="98">
        <v>94.0</v>
      </c>
      <c r="E141" s="97"/>
    </row>
    <row r="142">
      <c r="A142" s="12"/>
      <c r="B142" s="12"/>
      <c r="C142" s="97" t="s">
        <v>182</v>
      </c>
      <c r="D142" s="98">
        <v>224.0</v>
      </c>
      <c r="E142" s="97"/>
    </row>
    <row r="143">
      <c r="A143" s="51" t="s">
        <v>628</v>
      </c>
      <c r="B143" s="99" t="s">
        <v>629</v>
      </c>
      <c r="C143" s="100" t="s">
        <v>92</v>
      </c>
      <c r="D143" s="101">
        <v>0.0</v>
      </c>
      <c r="E143" s="100" t="s">
        <v>260</v>
      </c>
    </row>
    <row r="144">
      <c r="A144" s="12"/>
      <c r="B144" s="12"/>
      <c r="C144" s="100"/>
      <c r="D144" s="100"/>
      <c r="E144" s="100" t="s">
        <v>265</v>
      </c>
    </row>
    <row r="145">
      <c r="A145" s="51" t="s">
        <v>630</v>
      </c>
      <c r="B145" s="102" t="s">
        <v>631</v>
      </c>
      <c r="C145" s="103" t="s">
        <v>50</v>
      </c>
      <c r="D145" s="104">
        <v>0.0</v>
      </c>
      <c r="E145" s="103" t="s">
        <v>567</v>
      </c>
    </row>
    <row r="146">
      <c r="A146" s="3"/>
      <c r="B146" s="3"/>
      <c r="C146" s="103"/>
      <c r="D146" s="103"/>
      <c r="E146" s="103" t="s">
        <v>393</v>
      </c>
    </row>
    <row r="147">
      <c r="A147" s="3"/>
      <c r="B147" s="3"/>
      <c r="C147" s="103"/>
      <c r="D147" s="103"/>
      <c r="E147" s="103" t="s">
        <v>390</v>
      </c>
    </row>
    <row r="148">
      <c r="A148" s="3"/>
      <c r="B148" s="3"/>
      <c r="C148" s="103"/>
      <c r="D148" s="103"/>
      <c r="E148" s="103" t="s">
        <v>386</v>
      </c>
    </row>
    <row r="149">
      <c r="A149" s="3"/>
      <c r="B149" s="3"/>
      <c r="C149" s="103"/>
      <c r="D149" s="103"/>
      <c r="E149" s="103" t="s">
        <v>382</v>
      </c>
    </row>
    <row r="150">
      <c r="A150" s="51" t="s">
        <v>632</v>
      </c>
      <c r="B150" s="99" t="s">
        <v>633</v>
      </c>
      <c r="C150" s="100" t="s">
        <v>34</v>
      </c>
      <c r="D150" s="101">
        <v>0.0</v>
      </c>
      <c r="E150" s="105" t="s">
        <v>564</v>
      </c>
    </row>
    <row r="151">
      <c r="A151" s="3"/>
      <c r="B151" s="3"/>
      <c r="C151" s="100"/>
      <c r="D151" s="100"/>
      <c r="E151" s="106" t="s">
        <v>310</v>
      </c>
    </row>
    <row r="152">
      <c r="A152" s="3"/>
      <c r="B152" s="3"/>
      <c r="C152" s="100"/>
      <c r="D152" s="100"/>
      <c r="E152" s="105" t="s">
        <v>565</v>
      </c>
    </row>
    <row r="153">
      <c r="A153" s="3"/>
      <c r="B153" s="3"/>
      <c r="C153" s="100"/>
      <c r="D153" s="100"/>
      <c r="E153" s="105" t="s">
        <v>323</v>
      </c>
    </row>
    <row r="154">
      <c r="A154" s="3"/>
      <c r="B154" s="3"/>
      <c r="C154" s="100"/>
      <c r="D154" s="100"/>
      <c r="E154" s="105" t="s">
        <v>355</v>
      </c>
    </row>
    <row r="155">
      <c r="A155" s="3"/>
      <c r="B155" s="3"/>
      <c r="C155" s="100"/>
      <c r="D155" s="100"/>
      <c r="E155" s="105" t="s">
        <v>319</v>
      </c>
    </row>
    <row r="156">
      <c r="A156" s="3"/>
      <c r="B156" s="3"/>
      <c r="C156" s="100"/>
      <c r="D156" s="100"/>
      <c r="E156" s="105" t="s">
        <v>326</v>
      </c>
    </row>
    <row r="157">
      <c r="A157" s="3"/>
      <c r="B157" s="3"/>
      <c r="C157" s="100"/>
      <c r="D157" s="100"/>
      <c r="E157" s="105" t="s">
        <v>344</v>
      </c>
    </row>
    <row r="158">
      <c r="A158" s="12"/>
      <c r="B158" s="12"/>
      <c r="C158" s="100"/>
      <c r="D158" s="100"/>
      <c r="E158" s="100" t="s">
        <v>563</v>
      </c>
    </row>
    <row r="159">
      <c r="A159" s="51" t="s">
        <v>634</v>
      </c>
      <c r="B159" s="107" t="s">
        <v>635</v>
      </c>
      <c r="C159" s="108" t="s">
        <v>636</v>
      </c>
      <c r="D159" s="109">
        <v>0.0</v>
      </c>
      <c r="E159" s="13" t="s">
        <v>271</v>
      </c>
    </row>
    <row r="160">
      <c r="A160" s="3"/>
      <c r="B160" s="3"/>
      <c r="C160" s="13"/>
      <c r="D160" s="13"/>
      <c r="E160" s="13" t="s">
        <v>559</v>
      </c>
    </row>
    <row r="161">
      <c r="A161" s="3"/>
      <c r="B161" s="3"/>
      <c r="C161" s="13"/>
      <c r="D161" s="13"/>
      <c r="E161" s="13" t="s">
        <v>280</v>
      </c>
    </row>
    <row r="162">
      <c r="A162" s="3"/>
      <c r="B162" s="3"/>
      <c r="C162" s="13"/>
      <c r="D162" s="13"/>
      <c r="E162" s="13" t="s">
        <v>283</v>
      </c>
    </row>
    <row r="163">
      <c r="A163" s="3"/>
      <c r="B163" s="3"/>
      <c r="C163" s="13"/>
      <c r="D163" s="13"/>
      <c r="E163" s="13" t="s">
        <v>560</v>
      </c>
    </row>
    <row r="164">
      <c r="A164" s="3"/>
      <c r="B164" s="3"/>
      <c r="C164" s="13"/>
      <c r="D164" s="13"/>
      <c r="E164" s="13" t="s">
        <v>290</v>
      </c>
    </row>
    <row r="165">
      <c r="A165" s="12"/>
      <c r="B165" s="12"/>
      <c r="C165" s="13"/>
      <c r="D165" s="13"/>
      <c r="E165" s="13" t="s">
        <v>561</v>
      </c>
    </row>
    <row r="166">
      <c r="A166" s="51" t="s">
        <v>637</v>
      </c>
      <c r="B166" s="110" t="s">
        <v>638</v>
      </c>
      <c r="C166" s="111" t="s">
        <v>209</v>
      </c>
      <c r="D166" s="112">
        <v>0.0</v>
      </c>
      <c r="E166" s="111" t="s">
        <v>367</v>
      </c>
    </row>
    <row r="167">
      <c r="A167" s="3"/>
      <c r="B167" s="3"/>
      <c r="C167" s="111"/>
      <c r="D167" s="111"/>
      <c r="E167" s="111"/>
    </row>
    <row r="168">
      <c r="A168" s="12"/>
      <c r="B168" s="12"/>
      <c r="C168" s="111"/>
      <c r="D168" s="111"/>
      <c r="E168" s="111"/>
    </row>
    <row r="169">
      <c r="A169" s="51" t="s">
        <v>639</v>
      </c>
      <c r="B169" s="113" t="s">
        <v>640</v>
      </c>
      <c r="C169" s="114" t="s">
        <v>641</v>
      </c>
      <c r="D169" s="115">
        <v>0.0</v>
      </c>
      <c r="E169" s="114" t="s">
        <v>556</v>
      </c>
    </row>
    <row r="170">
      <c r="A170" s="12"/>
      <c r="B170" s="12"/>
      <c r="C170" s="114" t="s">
        <v>642</v>
      </c>
      <c r="D170" s="115">
        <v>10.0</v>
      </c>
      <c r="E170" s="114" t="s">
        <v>557</v>
      </c>
    </row>
    <row r="171">
      <c r="A171" s="51" t="s">
        <v>643</v>
      </c>
      <c r="B171" s="116" t="s">
        <v>644</v>
      </c>
      <c r="C171" s="117" t="s">
        <v>641</v>
      </c>
      <c r="D171" s="118">
        <v>0.0</v>
      </c>
      <c r="E171" s="117" t="s">
        <v>556</v>
      </c>
    </row>
    <row r="172">
      <c r="A172" s="12"/>
      <c r="B172" s="12"/>
      <c r="C172" s="117" t="s">
        <v>642</v>
      </c>
      <c r="D172" s="118">
        <v>20.0</v>
      </c>
      <c r="E172" s="117" t="s">
        <v>557</v>
      </c>
    </row>
    <row r="173">
      <c r="A173" s="51" t="s">
        <v>645</v>
      </c>
      <c r="B173" s="113" t="s">
        <v>646</v>
      </c>
      <c r="C173" s="114" t="s">
        <v>642</v>
      </c>
      <c r="D173" s="115">
        <v>0.0</v>
      </c>
      <c r="E173" s="114" t="s">
        <v>566</v>
      </c>
    </row>
    <row r="174">
      <c r="A174" s="12"/>
      <c r="B174" s="12"/>
      <c r="C174" s="114"/>
      <c r="D174" s="114"/>
      <c r="E174" s="114" t="s">
        <v>379</v>
      </c>
    </row>
    <row r="175">
      <c r="A175" s="51" t="s">
        <v>647</v>
      </c>
      <c r="B175" s="119" t="s">
        <v>648</v>
      </c>
      <c r="C175" s="120" t="s">
        <v>83</v>
      </c>
      <c r="D175" s="121">
        <v>0.0</v>
      </c>
      <c r="E175" s="120" t="s">
        <v>298</v>
      </c>
    </row>
    <row r="176">
      <c r="A176" s="12"/>
      <c r="B176" s="12"/>
      <c r="C176" s="120"/>
      <c r="D176" s="120"/>
      <c r="E176" s="120" t="s">
        <v>335</v>
      </c>
    </row>
    <row r="177">
      <c r="A177" s="49" t="s">
        <v>649</v>
      </c>
      <c r="B177" s="86" t="s">
        <v>650</v>
      </c>
      <c r="C177" s="87" t="s">
        <v>651</v>
      </c>
      <c r="D177" s="88">
        <v>0.0</v>
      </c>
      <c r="E177" s="87" t="s">
        <v>359</v>
      </c>
    </row>
    <row r="178">
      <c r="A178" s="51" t="s">
        <v>652</v>
      </c>
      <c r="B178" s="52" t="s">
        <v>653</v>
      </c>
      <c r="C178" s="53" t="s">
        <v>95</v>
      </c>
      <c r="D178" s="54">
        <v>0.0</v>
      </c>
      <c r="E178" s="53" t="s">
        <v>411</v>
      </c>
    </row>
    <row r="179">
      <c r="A179" s="3"/>
      <c r="B179" s="3"/>
      <c r="C179" s="53"/>
      <c r="D179" s="53"/>
      <c r="E179" s="53" t="s">
        <v>568</v>
      </c>
    </row>
    <row r="180">
      <c r="A180" s="12"/>
      <c r="B180" s="12"/>
      <c r="C180" s="53"/>
      <c r="D180" s="53"/>
      <c r="E180" s="53" t="s">
        <v>569</v>
      </c>
    </row>
    <row r="181">
      <c r="A181" s="49" t="s">
        <v>654</v>
      </c>
      <c r="B181" s="122" t="s">
        <v>655</v>
      </c>
      <c r="C181" s="31" t="s">
        <v>656</v>
      </c>
      <c r="D181" s="123">
        <v>0.0</v>
      </c>
      <c r="E181" s="31" t="s">
        <v>307</v>
      </c>
    </row>
    <row r="182">
      <c r="A182" s="51" t="s">
        <v>657</v>
      </c>
      <c r="B182" s="124" t="s">
        <v>658</v>
      </c>
      <c r="C182" s="87" t="s">
        <v>659</v>
      </c>
      <c r="D182" s="88">
        <v>0.0</v>
      </c>
      <c r="E182" s="87" t="s">
        <v>559</v>
      </c>
    </row>
    <row r="183">
      <c r="A183" s="3"/>
      <c r="B183" s="3"/>
      <c r="C183" s="87" t="s">
        <v>660</v>
      </c>
      <c r="D183" s="88">
        <v>0.0</v>
      </c>
      <c r="E183" s="87" t="s">
        <v>280</v>
      </c>
    </row>
    <row r="184">
      <c r="A184" s="3"/>
      <c r="B184" s="3"/>
      <c r="C184" s="87" t="s">
        <v>661</v>
      </c>
      <c r="D184" s="88">
        <v>0.0</v>
      </c>
      <c r="E184" s="87" t="s">
        <v>283</v>
      </c>
    </row>
    <row r="185">
      <c r="A185" s="3"/>
      <c r="B185" s="3"/>
      <c r="C185" s="87"/>
      <c r="D185" s="87"/>
      <c r="E185" s="87"/>
    </row>
    <row r="186">
      <c r="A186" s="3"/>
      <c r="B186" s="3"/>
      <c r="C186" s="87"/>
      <c r="D186" s="87"/>
      <c r="E186" s="87" t="s">
        <v>404</v>
      </c>
    </row>
    <row r="187">
      <c r="A187" s="3"/>
      <c r="B187" s="3"/>
      <c r="C187" s="87"/>
      <c r="D187" s="87"/>
      <c r="E187" s="87"/>
    </row>
    <row r="188">
      <c r="A188" s="3"/>
      <c r="B188" s="3"/>
      <c r="C188" s="87"/>
      <c r="D188" s="87"/>
      <c r="E188" s="87" t="s">
        <v>400</v>
      </c>
    </row>
    <row r="189">
      <c r="A189" s="3"/>
      <c r="B189" s="3"/>
      <c r="C189" s="87"/>
      <c r="D189" s="87"/>
      <c r="E189" s="87" t="s">
        <v>422</v>
      </c>
    </row>
    <row r="190">
      <c r="A190" s="3"/>
      <c r="B190" s="3"/>
      <c r="C190" s="87"/>
      <c r="D190" s="87"/>
      <c r="E190" s="87" t="s">
        <v>425</v>
      </c>
    </row>
    <row r="191">
      <c r="A191" s="3"/>
      <c r="B191" s="3"/>
      <c r="C191" s="87"/>
      <c r="D191" s="87"/>
      <c r="E191" s="87" t="s">
        <v>428</v>
      </c>
    </row>
    <row r="192">
      <c r="A192" s="3"/>
      <c r="B192" s="3"/>
      <c r="C192" s="87"/>
      <c r="D192" s="87"/>
      <c r="E192" s="87"/>
    </row>
    <row r="193">
      <c r="A193" s="12"/>
      <c r="B193" s="12"/>
      <c r="C193" s="87"/>
      <c r="D193" s="87"/>
      <c r="E193" s="87"/>
    </row>
    <row r="194">
      <c r="A194" s="51" t="s">
        <v>662</v>
      </c>
      <c r="B194" s="124" t="s">
        <v>663</v>
      </c>
      <c r="C194" s="87" t="s">
        <v>664</v>
      </c>
      <c r="D194" s="88">
        <v>0.0</v>
      </c>
      <c r="E194" s="87" t="s">
        <v>553</v>
      </c>
    </row>
    <row r="195">
      <c r="A195" s="3"/>
      <c r="B195" s="3"/>
      <c r="C195" s="87" t="s">
        <v>665</v>
      </c>
      <c r="D195" s="88">
        <v>0.0</v>
      </c>
      <c r="E195" s="87" t="s">
        <v>555</v>
      </c>
    </row>
    <row r="196">
      <c r="A196" s="3"/>
      <c r="B196" s="3"/>
      <c r="C196" s="87" t="s">
        <v>666</v>
      </c>
      <c r="D196" s="88">
        <v>8.0</v>
      </c>
      <c r="E196" s="87" t="s">
        <v>556</v>
      </c>
    </row>
    <row r="197">
      <c r="A197" s="3"/>
      <c r="B197" s="3"/>
      <c r="C197" s="87" t="s">
        <v>667</v>
      </c>
      <c r="D197" s="88">
        <v>15.0</v>
      </c>
      <c r="E197" s="87" t="s">
        <v>557</v>
      </c>
    </row>
    <row r="198">
      <c r="A198" s="3"/>
      <c r="B198" s="3"/>
      <c r="C198" s="87"/>
      <c r="D198" s="87"/>
      <c r="E198" s="87" t="s">
        <v>260</v>
      </c>
    </row>
    <row r="199">
      <c r="A199" s="12"/>
      <c r="B199" s="12"/>
      <c r="C199" s="87"/>
      <c r="D199" s="87"/>
      <c r="E199" s="87" t="s">
        <v>265</v>
      </c>
    </row>
    <row r="200">
      <c r="A200" s="51" t="s">
        <v>668</v>
      </c>
      <c r="B200" s="51" t="s">
        <v>669</v>
      </c>
      <c r="C200" s="36" t="s">
        <v>670</v>
      </c>
      <c r="D200" s="50">
        <v>0.0</v>
      </c>
      <c r="E200" s="36"/>
    </row>
    <row r="201">
      <c r="A201" s="3"/>
      <c r="B201" s="3"/>
      <c r="C201" s="36" t="s">
        <v>671</v>
      </c>
      <c r="D201" s="50">
        <v>0.0</v>
      </c>
      <c r="E201" s="36"/>
    </row>
    <row r="202">
      <c r="A202" s="3"/>
      <c r="B202" s="3"/>
      <c r="C202" s="36" t="s">
        <v>672</v>
      </c>
      <c r="D202" s="50">
        <v>0.0</v>
      </c>
      <c r="E202" s="36"/>
    </row>
    <row r="203">
      <c r="A203" s="3"/>
      <c r="B203" s="3"/>
      <c r="C203" s="36" t="s">
        <v>673</v>
      </c>
      <c r="D203" s="50">
        <v>0.0</v>
      </c>
      <c r="E203" s="36"/>
    </row>
    <row r="204">
      <c r="A204" s="3"/>
      <c r="B204" s="3"/>
      <c r="C204" s="36" t="s">
        <v>674</v>
      </c>
      <c r="D204" s="50">
        <v>0.0</v>
      </c>
      <c r="E204" s="36"/>
    </row>
    <row r="205">
      <c r="A205" s="3"/>
      <c r="B205" s="3"/>
      <c r="C205" s="36" t="s">
        <v>675</v>
      </c>
      <c r="D205" s="50">
        <v>0.0</v>
      </c>
      <c r="E205" s="36"/>
    </row>
    <row r="206">
      <c r="A206" s="3"/>
      <c r="B206" s="3"/>
      <c r="C206" s="36"/>
      <c r="D206" s="36"/>
      <c r="E206" s="125" t="s">
        <v>676</v>
      </c>
    </row>
    <row r="207">
      <c r="A207" s="3"/>
      <c r="B207" s="3"/>
      <c r="C207" s="36"/>
      <c r="D207" s="36"/>
      <c r="E207" s="36" t="s">
        <v>290</v>
      </c>
    </row>
    <row r="208">
      <c r="A208" s="3"/>
      <c r="B208" s="3"/>
      <c r="C208" s="36"/>
      <c r="D208" s="36"/>
      <c r="E208" s="36" t="s">
        <v>294</v>
      </c>
    </row>
    <row r="209">
      <c r="A209" s="3"/>
      <c r="B209" s="3"/>
      <c r="C209" s="36"/>
      <c r="D209" s="36"/>
      <c r="E209" s="36" t="s">
        <v>677</v>
      </c>
    </row>
    <row r="210">
      <c r="A210" s="3"/>
      <c r="B210" s="3"/>
      <c r="C210" s="36"/>
      <c r="D210" s="36"/>
      <c r="E210" s="36" t="s">
        <v>678</v>
      </c>
    </row>
    <row r="211">
      <c r="A211" s="3"/>
      <c r="B211" s="3"/>
      <c r="C211" s="36"/>
      <c r="D211" s="36"/>
      <c r="E211" s="36" t="s">
        <v>326</v>
      </c>
    </row>
    <row r="212">
      <c r="A212" s="3"/>
      <c r="B212" s="3"/>
      <c r="C212" s="36"/>
      <c r="D212" s="36"/>
      <c r="E212" s="36" t="s">
        <v>323</v>
      </c>
    </row>
    <row r="213">
      <c r="A213" s="3"/>
      <c r="B213" s="3"/>
      <c r="C213" s="36"/>
      <c r="D213" s="36"/>
      <c r="E213" s="36" t="s">
        <v>563</v>
      </c>
    </row>
    <row r="214">
      <c r="A214" s="3"/>
      <c r="B214" s="3"/>
      <c r="C214" s="36"/>
      <c r="D214" s="36"/>
      <c r="E214" s="36" t="s">
        <v>564</v>
      </c>
    </row>
    <row r="215">
      <c r="A215" s="3"/>
      <c r="B215" s="3"/>
      <c r="C215" s="36"/>
      <c r="D215" s="36"/>
      <c r="E215" s="36" t="s">
        <v>565</v>
      </c>
    </row>
    <row r="216">
      <c r="A216" s="3"/>
      <c r="B216" s="3"/>
      <c r="C216" s="36"/>
      <c r="D216" s="36"/>
      <c r="E216" s="36" t="s">
        <v>310</v>
      </c>
    </row>
    <row r="217">
      <c r="A217" s="3"/>
      <c r="B217" s="3"/>
      <c r="C217" s="36"/>
      <c r="D217" s="36"/>
      <c r="E217" s="36" t="s">
        <v>355</v>
      </c>
    </row>
    <row r="218">
      <c r="A218" s="3"/>
      <c r="B218" s="3"/>
      <c r="C218" s="36"/>
      <c r="D218" s="36"/>
      <c r="E218" s="36" t="s">
        <v>352</v>
      </c>
    </row>
    <row r="219">
      <c r="A219" s="3"/>
      <c r="B219" s="3"/>
      <c r="C219" s="36"/>
      <c r="D219" s="36"/>
      <c r="E219" s="36" t="s">
        <v>348</v>
      </c>
    </row>
    <row r="220">
      <c r="A220" s="3"/>
      <c r="B220" s="3"/>
      <c r="C220" s="36"/>
      <c r="D220" s="36"/>
      <c r="E220" s="36" t="s">
        <v>344</v>
      </c>
    </row>
    <row r="221">
      <c r="A221" s="3"/>
      <c r="B221" s="3"/>
      <c r="C221" s="36"/>
      <c r="D221" s="36"/>
      <c r="E221" s="36" t="s">
        <v>340</v>
      </c>
    </row>
    <row r="222">
      <c r="A222" s="3"/>
      <c r="B222" s="3"/>
      <c r="C222" s="36"/>
      <c r="D222" s="36"/>
      <c r="E222" s="36" t="s">
        <v>566</v>
      </c>
    </row>
    <row r="223">
      <c r="A223" s="3"/>
      <c r="B223" s="3"/>
      <c r="C223" s="36"/>
      <c r="D223" s="36"/>
      <c r="E223" s="36" t="s">
        <v>567</v>
      </c>
    </row>
    <row r="224">
      <c r="A224" s="3"/>
      <c r="B224" s="3"/>
      <c r="C224" s="36"/>
      <c r="D224" s="36"/>
      <c r="E224" s="36" t="s">
        <v>379</v>
      </c>
    </row>
    <row r="225">
      <c r="A225" s="3"/>
      <c r="B225" s="3"/>
      <c r="C225" s="36"/>
      <c r="D225" s="36"/>
      <c r="E225" s="36" t="s">
        <v>367</v>
      </c>
    </row>
    <row r="226">
      <c r="A226" s="3"/>
      <c r="B226" s="3"/>
      <c r="C226" s="36"/>
      <c r="D226" s="36"/>
      <c r="E226" s="36" t="s">
        <v>307</v>
      </c>
    </row>
    <row r="227">
      <c r="A227" s="3"/>
      <c r="B227" s="3"/>
      <c r="C227" s="36"/>
      <c r="D227" s="36"/>
      <c r="E227" s="36"/>
    </row>
    <row r="228">
      <c r="A228" s="3"/>
      <c r="B228" s="3"/>
      <c r="C228" s="36"/>
      <c r="D228" s="36"/>
      <c r="E228" s="36"/>
    </row>
    <row r="229">
      <c r="A229" s="3"/>
      <c r="B229" s="3"/>
      <c r="C229" s="36"/>
      <c r="D229" s="36"/>
      <c r="E229" s="36"/>
    </row>
    <row r="230">
      <c r="A230" s="3"/>
      <c r="B230" s="3"/>
      <c r="C230" s="36"/>
      <c r="D230" s="36"/>
      <c r="E230" s="36"/>
    </row>
    <row r="231">
      <c r="A231" s="3"/>
      <c r="B231" s="3"/>
      <c r="C231" s="36"/>
      <c r="D231" s="36"/>
      <c r="E231" s="36" t="s">
        <v>382</v>
      </c>
    </row>
    <row r="232">
      <c r="A232" s="3"/>
      <c r="B232" s="3"/>
      <c r="C232" s="36"/>
      <c r="D232" s="36"/>
      <c r="E232" s="36" t="s">
        <v>386</v>
      </c>
    </row>
    <row r="233">
      <c r="A233" s="3"/>
      <c r="B233" s="3"/>
      <c r="C233" s="36"/>
      <c r="D233" s="36"/>
      <c r="E233" s="36" t="s">
        <v>390</v>
      </c>
    </row>
    <row r="234">
      <c r="A234" s="12"/>
      <c r="B234" s="12"/>
      <c r="C234" s="36"/>
      <c r="D234" s="36"/>
      <c r="E234" s="36" t="s">
        <v>393</v>
      </c>
    </row>
    <row r="235">
      <c r="A235" s="126" t="s">
        <v>679</v>
      </c>
      <c r="B235" s="126" t="s">
        <v>680</v>
      </c>
      <c r="C235" s="127" t="s">
        <v>681</v>
      </c>
      <c r="D235" s="128">
        <v>0.0</v>
      </c>
      <c r="E235" s="129" t="s">
        <v>411</v>
      </c>
    </row>
    <row r="236">
      <c r="A236" s="3"/>
      <c r="B236" s="3"/>
      <c r="C236" s="127" t="s">
        <v>682</v>
      </c>
      <c r="D236" s="128">
        <v>0.0</v>
      </c>
      <c r="E236" s="129" t="s">
        <v>416</v>
      </c>
    </row>
    <row r="237">
      <c r="A237" s="3"/>
      <c r="B237" s="3"/>
      <c r="C237" s="127" t="s">
        <v>683</v>
      </c>
      <c r="D237" s="128">
        <v>0.0</v>
      </c>
      <c r="E237" s="129" t="s">
        <v>419</v>
      </c>
    </row>
    <row r="238">
      <c r="A238" s="12"/>
      <c r="B238" s="12"/>
      <c r="C238" s="127" t="s">
        <v>684</v>
      </c>
      <c r="D238" s="128">
        <v>0.0</v>
      </c>
      <c r="E238" s="129" t="s">
        <v>359</v>
      </c>
    </row>
    <row r="239">
      <c r="A239" s="124" t="s">
        <v>685</v>
      </c>
      <c r="B239" s="124" t="s">
        <v>686</v>
      </c>
      <c r="C239" s="87" t="s">
        <v>687</v>
      </c>
      <c r="D239" s="88">
        <v>0.0</v>
      </c>
      <c r="E239" s="130" t="s">
        <v>302</v>
      </c>
    </row>
    <row r="240">
      <c r="A240" s="3"/>
      <c r="B240" s="3"/>
      <c r="C240" s="87" t="s">
        <v>688</v>
      </c>
      <c r="D240" s="88">
        <v>0.0</v>
      </c>
      <c r="E240" s="87"/>
    </row>
    <row r="241">
      <c r="A241" s="3"/>
      <c r="B241" s="3"/>
      <c r="C241" s="87" t="s">
        <v>689</v>
      </c>
      <c r="D241" s="88">
        <v>0.0</v>
      </c>
      <c r="E241" s="87"/>
    </row>
    <row r="242">
      <c r="A242" s="12"/>
      <c r="B242" s="12"/>
      <c r="C242" s="87"/>
      <c r="D242" s="87"/>
      <c r="E242" s="87"/>
    </row>
    <row r="243">
      <c r="A243" s="51" t="s">
        <v>690</v>
      </c>
      <c r="B243" s="51" t="s">
        <v>691</v>
      </c>
      <c r="C243" s="36" t="s">
        <v>692</v>
      </c>
      <c r="D243" s="50">
        <v>0.0</v>
      </c>
      <c r="E243" s="36" t="s">
        <v>553</v>
      </c>
    </row>
    <row r="244">
      <c r="A244" s="3"/>
      <c r="B244" s="3"/>
      <c r="C244" s="36" t="s">
        <v>693</v>
      </c>
      <c r="D244" s="50">
        <v>0.0</v>
      </c>
      <c r="E244" s="36" t="s">
        <v>555</v>
      </c>
    </row>
    <row r="245">
      <c r="A245" s="3"/>
      <c r="B245" s="3"/>
      <c r="C245" s="36" t="s">
        <v>694</v>
      </c>
      <c r="D245" s="50">
        <v>0.0</v>
      </c>
      <c r="E245" s="36" t="s">
        <v>556</v>
      </c>
    </row>
    <row r="246">
      <c r="A246" s="3"/>
      <c r="B246" s="3"/>
      <c r="C246" s="36" t="s">
        <v>695</v>
      </c>
      <c r="D246" s="50">
        <v>0.0</v>
      </c>
      <c r="E246" s="36" t="s">
        <v>557</v>
      </c>
    </row>
    <row r="247">
      <c r="A247" s="3"/>
      <c r="B247" s="3"/>
      <c r="C247" s="36" t="s">
        <v>696</v>
      </c>
      <c r="D247" s="50">
        <v>0.0</v>
      </c>
      <c r="E247" s="36" t="s">
        <v>260</v>
      </c>
    </row>
    <row r="248">
      <c r="A248" s="12"/>
      <c r="B248" s="12"/>
      <c r="C248" s="36" t="s">
        <v>697</v>
      </c>
      <c r="D248" s="50">
        <v>0.0</v>
      </c>
      <c r="E248" s="36" t="s">
        <v>265</v>
      </c>
    </row>
    <row r="249">
      <c r="A249" s="51" t="s">
        <v>698</v>
      </c>
      <c r="B249" s="51" t="s">
        <v>699</v>
      </c>
      <c r="C249" s="36" t="s">
        <v>700</v>
      </c>
      <c r="D249" s="50">
        <v>0.0</v>
      </c>
      <c r="E249" s="36" t="s">
        <v>319</v>
      </c>
    </row>
    <row r="250">
      <c r="A250" s="3"/>
      <c r="B250" s="3"/>
      <c r="C250" s="36" t="s">
        <v>701</v>
      </c>
      <c r="D250" s="50">
        <v>0.0</v>
      </c>
      <c r="E250" s="36" t="s">
        <v>560</v>
      </c>
    </row>
    <row r="251">
      <c r="A251" s="3"/>
      <c r="B251" s="3"/>
      <c r="C251" s="36" t="s">
        <v>702</v>
      </c>
      <c r="D251" s="50">
        <v>0.0</v>
      </c>
      <c r="E251" s="36" t="s">
        <v>407</v>
      </c>
    </row>
    <row r="252">
      <c r="A252" s="12"/>
      <c r="B252" s="12"/>
      <c r="C252" s="36"/>
      <c r="D252" s="36"/>
      <c r="E252" s="36"/>
    </row>
    <row r="253">
      <c r="A253" s="131" t="s">
        <v>703</v>
      </c>
      <c r="B253" s="131" t="s">
        <v>704</v>
      </c>
      <c r="C253" s="40" t="s">
        <v>705</v>
      </c>
      <c r="D253" s="132">
        <v>0.0</v>
      </c>
      <c r="E253" s="40" t="s">
        <v>310</v>
      </c>
    </row>
    <row r="254">
      <c r="A254" s="3"/>
      <c r="B254" s="3"/>
      <c r="C254" s="40" t="s">
        <v>706</v>
      </c>
      <c r="D254" s="132">
        <v>50.0</v>
      </c>
      <c r="E254" s="40"/>
    </row>
    <row r="255">
      <c r="A255" s="3"/>
      <c r="B255" s="3"/>
      <c r="C255" s="40" t="s">
        <v>707</v>
      </c>
      <c r="D255" s="132">
        <v>30.0</v>
      </c>
      <c r="E255" s="40"/>
    </row>
    <row r="256">
      <c r="A256" s="3"/>
      <c r="B256" s="3"/>
      <c r="C256" s="40" t="s">
        <v>708</v>
      </c>
      <c r="D256" s="132">
        <v>30.0</v>
      </c>
      <c r="E256" s="40"/>
    </row>
    <row r="257">
      <c r="A257" s="3"/>
      <c r="B257" s="3"/>
      <c r="C257" s="40" t="s">
        <v>709</v>
      </c>
      <c r="D257" s="132">
        <v>30.0</v>
      </c>
      <c r="E257" s="40"/>
    </row>
    <row r="258">
      <c r="A258" s="3"/>
      <c r="B258" s="3"/>
      <c r="C258" s="40" t="s">
        <v>710</v>
      </c>
      <c r="D258" s="132">
        <v>30.0</v>
      </c>
      <c r="E258" s="40"/>
    </row>
    <row r="259">
      <c r="A259" s="3"/>
      <c r="B259" s="3"/>
      <c r="C259" s="40" t="s">
        <v>711</v>
      </c>
      <c r="D259" s="132">
        <v>30.0</v>
      </c>
      <c r="E259" s="40"/>
    </row>
    <row r="260">
      <c r="A260" s="3"/>
      <c r="B260" s="3"/>
      <c r="C260" s="40" t="s">
        <v>712</v>
      </c>
      <c r="D260" s="132">
        <v>30.0</v>
      </c>
      <c r="E260" s="40"/>
    </row>
    <row r="261">
      <c r="A261" s="3"/>
      <c r="B261" s="3"/>
      <c r="C261" s="40" t="s">
        <v>713</v>
      </c>
      <c r="D261" s="132">
        <v>5.0</v>
      </c>
      <c r="E261" s="40"/>
    </row>
    <row r="262">
      <c r="A262" s="3"/>
      <c r="B262" s="3"/>
      <c r="C262" s="40"/>
      <c r="D262" s="40"/>
      <c r="E262" s="40"/>
    </row>
    <row r="263">
      <c r="A263" s="3"/>
      <c r="B263" s="3"/>
      <c r="C263" s="40"/>
      <c r="D263" s="40"/>
      <c r="E263" s="133"/>
    </row>
    <row r="264">
      <c r="A264" s="3"/>
      <c r="B264" s="3"/>
      <c r="C264" s="40"/>
      <c r="D264" s="40"/>
      <c r="E264" s="133"/>
    </row>
    <row r="265">
      <c r="A265" s="3"/>
      <c r="B265" s="3"/>
      <c r="C265" s="40"/>
      <c r="D265" s="40"/>
      <c r="E265" s="133"/>
    </row>
    <row r="266">
      <c r="A266" s="3"/>
      <c r="B266" s="3"/>
      <c r="C266" s="40"/>
      <c r="D266" s="40"/>
      <c r="E266" s="133"/>
    </row>
    <row r="267">
      <c r="A267" s="3"/>
      <c r="B267" s="3"/>
      <c r="C267" s="40"/>
      <c r="D267" s="40"/>
      <c r="E267" s="133"/>
    </row>
    <row r="268">
      <c r="A268" s="3"/>
      <c r="B268" s="3"/>
      <c r="C268" s="40"/>
      <c r="D268" s="40"/>
      <c r="E268" s="133"/>
    </row>
    <row r="269">
      <c r="A269" s="12"/>
      <c r="B269" s="12"/>
      <c r="C269" s="40"/>
      <c r="D269" s="40"/>
      <c r="E269" s="133"/>
    </row>
    <row r="270">
      <c r="A270" s="51" t="s">
        <v>714</v>
      </c>
      <c r="B270" s="51" t="s">
        <v>715</v>
      </c>
      <c r="C270" s="36" t="s">
        <v>716</v>
      </c>
      <c r="D270" s="50">
        <v>0.0</v>
      </c>
      <c r="E270" s="134" t="s">
        <v>514</v>
      </c>
    </row>
    <row r="271">
      <c r="A271" s="3"/>
      <c r="B271" s="3"/>
      <c r="C271" s="36" t="s">
        <v>717</v>
      </c>
      <c r="D271" s="50">
        <v>0.0</v>
      </c>
      <c r="E271" s="135" t="s">
        <v>517</v>
      </c>
    </row>
    <row r="272">
      <c r="A272" s="12"/>
      <c r="B272" s="12"/>
      <c r="C272" s="36"/>
      <c r="D272" s="36"/>
      <c r="E272" s="136"/>
    </row>
    <row r="273">
      <c r="A273" s="51" t="s">
        <v>718</v>
      </c>
      <c r="B273" s="51" t="s">
        <v>719</v>
      </c>
      <c r="C273" s="36" t="s">
        <v>720</v>
      </c>
      <c r="D273" s="49">
        <v>0.0</v>
      </c>
      <c r="E273" s="135" t="s">
        <v>523</v>
      </c>
    </row>
    <row r="274">
      <c r="A274" s="3"/>
      <c r="B274" s="3"/>
      <c r="C274" s="36" t="s">
        <v>717</v>
      </c>
      <c r="D274" s="49">
        <v>0.0</v>
      </c>
      <c r="E274" s="137" t="s">
        <v>526</v>
      </c>
    </row>
    <row r="275">
      <c r="A275" s="3"/>
      <c r="B275" s="3"/>
      <c r="C275" s="138"/>
      <c r="D275" s="138"/>
      <c r="E275" s="134" t="s">
        <v>479</v>
      </c>
    </row>
    <row r="276">
      <c r="A276" s="3"/>
      <c r="B276" s="3"/>
      <c r="C276" s="3"/>
      <c r="D276" s="3"/>
      <c r="E276" s="139" t="s">
        <v>481</v>
      </c>
    </row>
    <row r="277">
      <c r="A277" s="3"/>
      <c r="B277" s="3"/>
      <c r="C277" s="3"/>
      <c r="D277" s="3"/>
      <c r="E277" s="134" t="s">
        <v>484</v>
      </c>
    </row>
    <row r="278">
      <c r="A278" s="3"/>
      <c r="B278" s="3"/>
      <c r="C278" s="3"/>
      <c r="D278" s="3"/>
      <c r="E278" s="139" t="s">
        <v>487</v>
      </c>
    </row>
    <row r="279">
      <c r="A279" s="12"/>
      <c r="B279" s="12"/>
      <c r="C279" s="12"/>
      <c r="D279" s="12"/>
      <c r="E279" s="134" t="s">
        <v>490</v>
      </c>
    </row>
  </sheetData>
  <mergeCells count="70">
    <mergeCell ref="B194:B199"/>
    <mergeCell ref="B200:B234"/>
    <mergeCell ref="B166:B168"/>
    <mergeCell ref="B169:B170"/>
    <mergeCell ref="B171:B172"/>
    <mergeCell ref="B173:B174"/>
    <mergeCell ref="B175:B176"/>
    <mergeCell ref="B178:B180"/>
    <mergeCell ref="B182:B193"/>
    <mergeCell ref="A182:A193"/>
    <mergeCell ref="A194:A199"/>
    <mergeCell ref="A200:A234"/>
    <mergeCell ref="A235:A238"/>
    <mergeCell ref="B235:B238"/>
    <mergeCell ref="A239:A242"/>
    <mergeCell ref="B239:B242"/>
    <mergeCell ref="C275:C279"/>
    <mergeCell ref="D275:D279"/>
    <mergeCell ref="A243:A248"/>
    <mergeCell ref="B243:B248"/>
    <mergeCell ref="A249:A252"/>
    <mergeCell ref="B249:B252"/>
    <mergeCell ref="A253:A269"/>
    <mergeCell ref="B253:B269"/>
    <mergeCell ref="B270:B272"/>
    <mergeCell ref="A2:A45"/>
    <mergeCell ref="B2:B45"/>
    <mergeCell ref="A46:A48"/>
    <mergeCell ref="B46:B48"/>
    <mergeCell ref="A49:A62"/>
    <mergeCell ref="B49:B62"/>
    <mergeCell ref="B63:B65"/>
    <mergeCell ref="A63:A65"/>
    <mergeCell ref="A66:A73"/>
    <mergeCell ref="B66:B73"/>
    <mergeCell ref="A74:A79"/>
    <mergeCell ref="B74:B79"/>
    <mergeCell ref="A80:A91"/>
    <mergeCell ref="B80:B91"/>
    <mergeCell ref="A92:A98"/>
    <mergeCell ref="B92:B98"/>
    <mergeCell ref="A100:A104"/>
    <mergeCell ref="B100:B104"/>
    <mergeCell ref="A105:A115"/>
    <mergeCell ref="B105:B115"/>
    <mergeCell ref="B116:B128"/>
    <mergeCell ref="A116:A128"/>
    <mergeCell ref="A130:A132"/>
    <mergeCell ref="A133:A136"/>
    <mergeCell ref="A137:A142"/>
    <mergeCell ref="A143:A144"/>
    <mergeCell ref="A145:A149"/>
    <mergeCell ref="A150:A158"/>
    <mergeCell ref="B130:B132"/>
    <mergeCell ref="B133:B136"/>
    <mergeCell ref="B137:B142"/>
    <mergeCell ref="B143:B144"/>
    <mergeCell ref="B145:B149"/>
    <mergeCell ref="B150:B158"/>
    <mergeCell ref="B159:B165"/>
    <mergeCell ref="A159:A165"/>
    <mergeCell ref="A166:A168"/>
    <mergeCell ref="A169:A170"/>
    <mergeCell ref="A171:A172"/>
    <mergeCell ref="A173:A174"/>
    <mergeCell ref="A175:A176"/>
    <mergeCell ref="A178:A180"/>
    <mergeCell ref="A270:A272"/>
    <mergeCell ref="A273:A279"/>
    <mergeCell ref="B273:B279"/>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75"/>
    <col customWidth="1" min="4" max="4" width="43.5"/>
  </cols>
  <sheetData>
    <row r="1">
      <c r="A1" s="140"/>
      <c r="B1" s="140"/>
      <c r="C1" s="140"/>
      <c r="D1" s="141" t="s">
        <v>721</v>
      </c>
      <c r="E1" s="142" t="s">
        <v>722</v>
      </c>
      <c r="F1" s="141" t="s">
        <v>723</v>
      </c>
      <c r="G1" s="141" t="s">
        <v>724</v>
      </c>
      <c r="H1" s="141" t="s">
        <v>725</v>
      </c>
      <c r="I1" s="142" t="s">
        <v>96</v>
      </c>
    </row>
    <row r="2">
      <c r="A2" s="128" t="s">
        <v>726</v>
      </c>
      <c r="B2" s="128" t="s">
        <v>726</v>
      </c>
      <c r="C2" s="127"/>
      <c r="D2" s="143" t="s">
        <v>727</v>
      </c>
      <c r="E2" s="144" t="s">
        <v>728</v>
      </c>
      <c r="F2" s="145" t="s">
        <v>729</v>
      </c>
      <c r="G2" s="143">
        <v>845.0</v>
      </c>
      <c r="H2" s="143">
        <v>1235.0</v>
      </c>
      <c r="I2" s="144" t="s">
        <v>730</v>
      </c>
    </row>
    <row r="3">
      <c r="A3" s="127"/>
      <c r="B3" s="127"/>
      <c r="C3" s="127"/>
      <c r="D3" s="146"/>
      <c r="E3" s="146"/>
      <c r="F3" s="146"/>
      <c r="G3" s="147" t="s">
        <v>731</v>
      </c>
      <c r="H3" s="143" t="s">
        <v>732</v>
      </c>
      <c r="I3" s="146"/>
    </row>
    <row r="4">
      <c r="A4" s="127"/>
      <c r="B4" s="127"/>
      <c r="C4" s="127"/>
      <c r="D4" s="143" t="s">
        <v>733</v>
      </c>
      <c r="E4" s="144" t="s">
        <v>728</v>
      </c>
      <c r="F4" s="147" t="s">
        <v>734</v>
      </c>
      <c r="G4" s="143">
        <f>550+45</f>
        <v>595</v>
      </c>
      <c r="H4" s="146"/>
      <c r="I4" s="144" t="s">
        <v>735</v>
      </c>
    </row>
    <row r="5">
      <c r="A5" s="127"/>
      <c r="B5" s="127"/>
      <c r="C5" s="127"/>
      <c r="D5" s="146"/>
      <c r="E5" s="146"/>
      <c r="F5" s="146"/>
      <c r="G5" s="143" t="s">
        <v>736</v>
      </c>
      <c r="H5" s="146"/>
      <c r="I5" s="146"/>
    </row>
    <row r="6">
      <c r="A6" s="127"/>
      <c r="B6" s="127"/>
      <c r="C6" s="127"/>
      <c r="D6" s="143" t="s">
        <v>737</v>
      </c>
      <c r="E6" s="144" t="s">
        <v>728</v>
      </c>
      <c r="F6" s="147" t="s">
        <v>738</v>
      </c>
      <c r="G6" s="143">
        <v>315.0</v>
      </c>
      <c r="H6" s="143">
        <v>450.0</v>
      </c>
      <c r="I6" s="144" t="s">
        <v>730</v>
      </c>
    </row>
    <row r="7">
      <c r="A7" s="127"/>
      <c r="B7" s="127"/>
      <c r="C7" s="127"/>
      <c r="D7" s="146"/>
      <c r="E7" s="146"/>
      <c r="F7" s="146"/>
      <c r="G7" s="143" t="s">
        <v>739</v>
      </c>
      <c r="H7" s="143" t="s">
        <v>740</v>
      </c>
      <c r="I7" s="146"/>
    </row>
    <row r="8">
      <c r="A8" s="148" t="s">
        <v>741</v>
      </c>
      <c r="B8" s="149">
        <v>111.0</v>
      </c>
      <c r="C8" s="150"/>
      <c r="D8" s="151" t="s">
        <v>742</v>
      </c>
      <c r="E8" s="144" t="s">
        <v>743</v>
      </c>
      <c r="F8" s="152" t="s">
        <v>744</v>
      </c>
      <c r="G8" s="151">
        <v>304.0</v>
      </c>
      <c r="H8" s="151">
        <v>445.0</v>
      </c>
      <c r="I8" s="144" t="s">
        <v>730</v>
      </c>
    </row>
    <row r="9">
      <c r="A9" s="150"/>
      <c r="B9" s="150"/>
      <c r="C9" s="150"/>
      <c r="D9" s="153"/>
      <c r="E9" s="153"/>
      <c r="F9" s="153"/>
      <c r="G9" s="151" t="s">
        <v>109</v>
      </c>
      <c r="H9" s="151" t="s">
        <v>176</v>
      </c>
      <c r="I9" s="153"/>
    </row>
    <row r="10">
      <c r="A10" s="150"/>
      <c r="B10" s="149">
        <v>111.0</v>
      </c>
      <c r="C10" s="150"/>
      <c r="D10" s="151" t="s">
        <v>745</v>
      </c>
      <c r="E10" s="144" t="s">
        <v>743</v>
      </c>
      <c r="F10" s="152" t="s">
        <v>746</v>
      </c>
      <c r="G10" s="151">
        <v>235.0</v>
      </c>
      <c r="H10" s="151">
        <v>340.0</v>
      </c>
      <c r="I10" s="144" t="s">
        <v>730</v>
      </c>
    </row>
    <row r="11">
      <c r="A11" s="150"/>
      <c r="B11" s="150"/>
      <c r="C11" s="150"/>
      <c r="D11" s="153"/>
      <c r="E11" s="153"/>
      <c r="F11" s="153"/>
      <c r="G11" s="151" t="s">
        <v>115</v>
      </c>
      <c r="H11" s="151" t="s">
        <v>180</v>
      </c>
      <c r="I11" s="153"/>
    </row>
    <row r="12">
      <c r="A12" s="150"/>
      <c r="B12" s="149">
        <v>111.0</v>
      </c>
      <c r="C12" s="150"/>
      <c r="D12" s="151" t="s">
        <v>747</v>
      </c>
      <c r="E12" s="144" t="s">
        <v>748</v>
      </c>
      <c r="F12" s="152" t="s">
        <v>749</v>
      </c>
      <c r="G12" s="151">
        <v>130.0</v>
      </c>
      <c r="H12" s="151">
        <v>195.0</v>
      </c>
      <c r="I12" s="144" t="s">
        <v>730</v>
      </c>
    </row>
    <row r="13">
      <c r="A13" s="150"/>
      <c r="B13" s="150"/>
      <c r="C13" s="150"/>
      <c r="D13" s="153"/>
      <c r="E13" s="153"/>
      <c r="F13" s="153"/>
      <c r="G13" s="151" t="s">
        <v>121</v>
      </c>
      <c r="H13" s="151" t="s">
        <v>196</v>
      </c>
      <c r="I13" s="153"/>
    </row>
    <row r="14">
      <c r="A14" s="150"/>
      <c r="B14" s="149">
        <v>111.0</v>
      </c>
      <c r="C14" s="150"/>
      <c r="D14" s="151" t="s">
        <v>47</v>
      </c>
      <c r="E14" s="144" t="s">
        <v>748</v>
      </c>
      <c r="F14" s="152" t="s">
        <v>750</v>
      </c>
      <c r="G14" s="151">
        <v>145.0</v>
      </c>
      <c r="H14" s="151">
        <v>205.0</v>
      </c>
      <c r="I14" s="144" t="s">
        <v>730</v>
      </c>
    </row>
    <row r="15">
      <c r="A15" s="150"/>
      <c r="B15" s="150"/>
      <c r="C15" s="150"/>
      <c r="D15" s="153"/>
      <c r="E15" s="153"/>
      <c r="F15" s="153"/>
      <c r="G15" s="151" t="s">
        <v>140</v>
      </c>
      <c r="H15" s="151" t="s">
        <v>183</v>
      </c>
      <c r="I15" s="153"/>
    </row>
    <row r="16">
      <c r="A16" s="150"/>
      <c r="B16" s="149">
        <v>111.0</v>
      </c>
      <c r="C16" s="150"/>
      <c r="D16" s="151" t="s">
        <v>51</v>
      </c>
      <c r="E16" s="144" t="s">
        <v>748</v>
      </c>
      <c r="F16" s="152" t="s">
        <v>751</v>
      </c>
      <c r="G16" s="151">
        <v>115.0</v>
      </c>
      <c r="H16" s="151">
        <v>165.0</v>
      </c>
      <c r="I16" s="144" t="s">
        <v>730</v>
      </c>
    </row>
    <row r="17">
      <c r="A17" s="150"/>
      <c r="B17" s="150"/>
      <c r="C17" s="150"/>
      <c r="D17" s="153"/>
      <c r="E17" s="153"/>
      <c r="F17" s="153"/>
      <c r="G17" s="151" t="s">
        <v>752</v>
      </c>
      <c r="H17" s="151" t="s">
        <v>752</v>
      </c>
      <c r="I17" s="153"/>
    </row>
    <row r="18">
      <c r="A18" s="150"/>
      <c r="B18" s="150"/>
      <c r="C18" s="150"/>
      <c r="D18" s="151" t="s">
        <v>753</v>
      </c>
      <c r="E18" s="144" t="s">
        <v>748</v>
      </c>
      <c r="F18" s="152" t="s">
        <v>754</v>
      </c>
      <c r="G18" s="151">
        <v>180.0</v>
      </c>
      <c r="H18" s="153"/>
      <c r="I18" s="144" t="s">
        <v>735</v>
      </c>
    </row>
    <row r="19">
      <c r="A19" s="150"/>
      <c r="B19" s="150"/>
      <c r="C19" s="150"/>
      <c r="D19" s="153"/>
      <c r="E19" s="153"/>
      <c r="F19" s="153"/>
      <c r="G19" s="151" t="s">
        <v>125</v>
      </c>
      <c r="H19" s="153"/>
      <c r="I19" s="153"/>
    </row>
    <row r="20">
      <c r="A20" s="150"/>
      <c r="B20" s="150"/>
      <c r="C20" s="150"/>
      <c r="D20" s="151" t="s">
        <v>755</v>
      </c>
      <c r="E20" s="144" t="s">
        <v>756</v>
      </c>
      <c r="F20" s="152" t="s">
        <v>757</v>
      </c>
      <c r="G20" s="151">
        <v>180.0</v>
      </c>
      <c r="H20" s="153"/>
      <c r="I20" s="144" t="s">
        <v>735</v>
      </c>
    </row>
    <row r="21">
      <c r="A21" s="150"/>
      <c r="B21" s="150"/>
      <c r="C21" s="150"/>
      <c r="D21" s="153"/>
      <c r="E21" s="153"/>
      <c r="F21" s="153"/>
      <c r="G21" s="151" t="s">
        <v>129</v>
      </c>
      <c r="H21" s="153"/>
      <c r="I21" s="153"/>
    </row>
    <row r="22">
      <c r="A22" s="150"/>
      <c r="B22" s="150"/>
      <c r="C22" s="150"/>
      <c r="D22" s="151" t="s">
        <v>758</v>
      </c>
      <c r="E22" s="144" t="s">
        <v>756</v>
      </c>
      <c r="F22" s="152" t="s">
        <v>759</v>
      </c>
      <c r="G22" s="151">
        <v>210.0</v>
      </c>
      <c r="H22" s="153"/>
      <c r="I22" s="144" t="s">
        <v>735</v>
      </c>
    </row>
    <row r="23">
      <c r="A23" s="150"/>
      <c r="B23" s="150"/>
      <c r="C23" s="150"/>
      <c r="D23" s="153"/>
      <c r="E23" s="153"/>
      <c r="F23" s="153"/>
      <c r="G23" s="151" t="s">
        <v>112</v>
      </c>
      <c r="H23" s="153"/>
      <c r="I23" s="153"/>
    </row>
    <row r="24">
      <c r="A24" s="150"/>
      <c r="B24" s="150"/>
      <c r="C24" s="150"/>
      <c r="D24" s="151" t="s">
        <v>760</v>
      </c>
      <c r="E24" s="144" t="s">
        <v>756</v>
      </c>
      <c r="F24" s="152" t="s">
        <v>761</v>
      </c>
      <c r="G24" s="151">
        <v>201.0</v>
      </c>
      <c r="H24" s="153"/>
      <c r="I24" s="144" t="s">
        <v>735</v>
      </c>
    </row>
    <row r="25">
      <c r="A25" s="150"/>
      <c r="B25" s="150"/>
      <c r="C25" s="150"/>
      <c r="D25" s="153"/>
      <c r="E25" s="153"/>
      <c r="F25" s="153"/>
      <c r="G25" s="151" t="s">
        <v>118</v>
      </c>
      <c r="H25" s="153"/>
      <c r="I25" s="153"/>
    </row>
    <row r="26">
      <c r="A26" s="150"/>
      <c r="B26" s="150"/>
      <c r="C26" s="150"/>
      <c r="D26" s="151" t="s">
        <v>762</v>
      </c>
      <c r="E26" s="144" t="s">
        <v>756</v>
      </c>
      <c r="F26" s="152" t="s">
        <v>763</v>
      </c>
      <c r="G26" s="151">
        <v>95.0</v>
      </c>
      <c r="H26" s="151">
        <v>135.0</v>
      </c>
      <c r="I26" s="144" t="s">
        <v>730</v>
      </c>
    </row>
    <row r="27">
      <c r="A27" s="150"/>
      <c r="B27" s="150"/>
      <c r="C27" s="150"/>
      <c r="D27" s="153"/>
      <c r="E27" s="153"/>
      <c r="F27" s="153"/>
      <c r="G27" s="151" t="s">
        <v>149</v>
      </c>
      <c r="H27" s="151" t="s">
        <v>149</v>
      </c>
      <c r="I27" s="153"/>
    </row>
    <row r="28">
      <c r="A28" s="150"/>
      <c r="B28" s="150"/>
      <c r="C28" s="150"/>
      <c r="D28" s="151" t="s">
        <v>764</v>
      </c>
      <c r="E28" s="144" t="s">
        <v>756</v>
      </c>
      <c r="F28" s="152" t="s">
        <v>765</v>
      </c>
      <c r="G28" s="151">
        <v>95.0</v>
      </c>
      <c r="H28" s="151">
        <v>135.0</v>
      </c>
      <c r="I28" s="144" t="s">
        <v>730</v>
      </c>
    </row>
    <row r="29">
      <c r="A29" s="150"/>
      <c r="B29" s="150"/>
      <c r="C29" s="150"/>
      <c r="D29" s="153"/>
      <c r="E29" s="153"/>
      <c r="F29" s="153"/>
      <c r="G29" s="151" t="s">
        <v>152</v>
      </c>
      <c r="H29" s="151" t="s">
        <v>212</v>
      </c>
      <c r="I29" s="153"/>
    </row>
    <row r="30">
      <c r="A30" s="150"/>
      <c r="B30" s="149">
        <v>111.0</v>
      </c>
      <c r="C30" s="150"/>
      <c r="D30" s="151" t="s">
        <v>71</v>
      </c>
      <c r="E30" s="144" t="s">
        <v>756</v>
      </c>
      <c r="F30" s="152" t="s">
        <v>766</v>
      </c>
      <c r="G30" s="154">
        <v>155.0</v>
      </c>
      <c r="H30" s="153"/>
      <c r="I30" s="144" t="s">
        <v>730</v>
      </c>
    </row>
    <row r="31">
      <c r="A31" s="150"/>
      <c r="B31" s="150"/>
      <c r="C31" s="150"/>
      <c r="D31" s="153"/>
      <c r="E31" s="153"/>
      <c r="F31" s="153"/>
      <c r="G31" s="151" t="s">
        <v>155</v>
      </c>
      <c r="H31" s="151" t="s">
        <v>222</v>
      </c>
      <c r="I31" s="153"/>
    </row>
    <row r="32">
      <c r="A32" s="150"/>
      <c r="B32" s="149">
        <v>111.0</v>
      </c>
      <c r="C32" s="150"/>
      <c r="D32" s="151" t="s">
        <v>767</v>
      </c>
      <c r="E32" s="144" t="s">
        <v>756</v>
      </c>
      <c r="F32" s="152" t="s">
        <v>768</v>
      </c>
      <c r="G32" s="153"/>
      <c r="H32" s="154">
        <v>145.0</v>
      </c>
      <c r="I32" s="144" t="s">
        <v>769</v>
      </c>
    </row>
    <row r="33">
      <c r="A33" s="150"/>
      <c r="B33" s="150"/>
      <c r="C33" s="150"/>
      <c r="D33" s="153"/>
      <c r="E33" s="153"/>
      <c r="F33" s="153"/>
      <c r="G33" s="155"/>
      <c r="H33" s="151" t="s">
        <v>189</v>
      </c>
      <c r="I33" s="153"/>
    </row>
    <row r="34">
      <c r="A34" s="150"/>
      <c r="B34" s="150"/>
      <c r="C34" s="150"/>
      <c r="D34" s="148" t="s">
        <v>770</v>
      </c>
      <c r="E34" s="50" t="s">
        <v>756</v>
      </c>
      <c r="F34" s="156" t="s">
        <v>771</v>
      </c>
      <c r="G34" s="150"/>
      <c r="H34" s="157">
        <v>135.0</v>
      </c>
      <c r="I34" s="50" t="s">
        <v>769</v>
      </c>
    </row>
    <row r="35">
      <c r="A35" s="150"/>
      <c r="B35" s="150"/>
      <c r="C35" s="150"/>
      <c r="D35" s="150"/>
      <c r="E35" s="150"/>
      <c r="F35" s="150"/>
      <c r="G35" s="158"/>
      <c r="H35" s="148" t="s">
        <v>214</v>
      </c>
      <c r="I35" s="150"/>
    </row>
    <row r="36">
      <c r="A36" s="150"/>
      <c r="B36" s="150"/>
      <c r="C36" s="150"/>
      <c r="D36" s="148" t="s">
        <v>772</v>
      </c>
      <c r="E36" s="50" t="s">
        <v>773</v>
      </c>
      <c r="F36" s="156" t="s">
        <v>774</v>
      </c>
      <c r="G36" s="148">
        <v>105.0</v>
      </c>
      <c r="H36" s="150"/>
      <c r="I36" s="50" t="s">
        <v>735</v>
      </c>
    </row>
    <row r="37">
      <c r="A37" s="150"/>
      <c r="B37" s="150"/>
      <c r="C37" s="150"/>
      <c r="D37" s="150"/>
      <c r="E37" s="150"/>
      <c r="F37" s="150"/>
      <c r="G37" s="148" t="s">
        <v>143</v>
      </c>
      <c r="H37" s="150"/>
      <c r="I37" s="150"/>
    </row>
    <row r="38">
      <c r="A38" s="150"/>
      <c r="B38" s="149">
        <v>111.0</v>
      </c>
      <c r="C38" s="150"/>
      <c r="D38" s="148" t="s">
        <v>775</v>
      </c>
      <c r="E38" s="50" t="s">
        <v>773</v>
      </c>
      <c r="F38" s="156" t="s">
        <v>776</v>
      </c>
      <c r="G38" s="148">
        <v>105.0</v>
      </c>
      <c r="H38" s="148">
        <v>145.0</v>
      </c>
      <c r="I38" s="50" t="s">
        <v>730</v>
      </c>
    </row>
    <row r="39">
      <c r="A39" s="150"/>
      <c r="B39" s="150"/>
      <c r="C39" s="150"/>
      <c r="D39" s="150"/>
      <c r="E39" s="150"/>
      <c r="F39" s="150"/>
      <c r="G39" s="148" t="s">
        <v>135</v>
      </c>
      <c r="H39" s="148" t="s">
        <v>189</v>
      </c>
      <c r="I39" s="150"/>
    </row>
    <row r="40">
      <c r="A40" s="150"/>
      <c r="B40" s="149">
        <v>111.0</v>
      </c>
      <c r="C40" s="150"/>
      <c r="D40" s="148" t="s">
        <v>777</v>
      </c>
      <c r="E40" s="50" t="s">
        <v>773</v>
      </c>
      <c r="F40" s="156" t="s">
        <v>778</v>
      </c>
      <c r="G40" s="148">
        <v>80.0</v>
      </c>
      <c r="H40" s="150"/>
      <c r="I40" s="50" t="s">
        <v>735</v>
      </c>
    </row>
    <row r="41">
      <c r="A41" s="150"/>
      <c r="B41" s="150"/>
      <c r="C41" s="150"/>
      <c r="D41" s="150"/>
      <c r="E41" s="150"/>
      <c r="F41" s="150"/>
      <c r="G41" s="148" t="s">
        <v>146</v>
      </c>
      <c r="H41" s="150"/>
      <c r="I41" s="150"/>
    </row>
    <row r="42">
      <c r="A42" s="150"/>
      <c r="B42" s="150"/>
      <c r="C42" s="150"/>
      <c r="D42" s="159" t="s">
        <v>779</v>
      </c>
      <c r="E42" s="50" t="s">
        <v>773</v>
      </c>
      <c r="F42" s="160" t="s">
        <v>780</v>
      </c>
      <c r="G42" s="150"/>
      <c r="H42" s="148">
        <f>90+55</f>
        <v>145</v>
      </c>
      <c r="I42" s="50" t="s">
        <v>769</v>
      </c>
    </row>
    <row r="43">
      <c r="A43" s="150"/>
      <c r="B43" s="150"/>
      <c r="C43" s="150"/>
      <c r="D43" s="150"/>
      <c r="E43" s="150"/>
      <c r="F43" s="150"/>
      <c r="G43" s="150"/>
      <c r="H43" s="148" t="s">
        <v>200</v>
      </c>
      <c r="I43" s="150"/>
    </row>
    <row r="44">
      <c r="A44" s="150"/>
      <c r="B44" s="150"/>
      <c r="C44" s="150"/>
      <c r="D44" s="148" t="s">
        <v>781</v>
      </c>
      <c r="E44" s="50" t="s">
        <v>773</v>
      </c>
      <c r="F44" s="156" t="s">
        <v>782</v>
      </c>
      <c r="G44" s="150"/>
      <c r="H44" s="157">
        <v>165.0</v>
      </c>
      <c r="I44" s="50" t="s">
        <v>769</v>
      </c>
    </row>
    <row r="45">
      <c r="A45" s="150"/>
      <c r="B45" s="150"/>
      <c r="C45" s="150"/>
      <c r="D45" s="150"/>
      <c r="E45" s="150"/>
      <c r="F45" s="150"/>
      <c r="G45" s="150"/>
      <c r="H45" s="148" t="s">
        <v>186</v>
      </c>
      <c r="I45" s="150"/>
    </row>
    <row r="46">
      <c r="A46" s="150"/>
      <c r="B46" s="149">
        <v>111.0</v>
      </c>
      <c r="C46" s="150"/>
      <c r="D46" s="148" t="s">
        <v>783</v>
      </c>
      <c r="E46" s="50" t="s">
        <v>773</v>
      </c>
      <c r="F46" s="156" t="s">
        <v>784</v>
      </c>
      <c r="G46" s="150"/>
      <c r="H46" s="157">
        <v>120.0</v>
      </c>
      <c r="I46" s="50" t="s">
        <v>769</v>
      </c>
    </row>
    <row r="47">
      <c r="A47" s="150"/>
      <c r="B47" s="150"/>
      <c r="C47" s="150"/>
      <c r="D47" s="150"/>
      <c r="E47" s="150"/>
      <c r="F47" s="150"/>
      <c r="G47" s="158"/>
      <c r="H47" s="148" t="s">
        <v>206</v>
      </c>
      <c r="I47" s="150"/>
    </row>
    <row r="48">
      <c r="A48" s="150"/>
      <c r="B48" s="149">
        <v>111.0</v>
      </c>
      <c r="C48" s="150"/>
      <c r="D48" s="148" t="s">
        <v>53</v>
      </c>
      <c r="E48" s="50" t="s">
        <v>773</v>
      </c>
      <c r="F48" s="156" t="s">
        <v>785</v>
      </c>
      <c r="G48" s="158"/>
      <c r="H48" s="148">
        <f>80+55</f>
        <v>135</v>
      </c>
      <c r="I48" s="50" t="s">
        <v>769</v>
      </c>
    </row>
    <row r="49">
      <c r="A49" s="150"/>
      <c r="B49" s="150"/>
      <c r="C49" s="150"/>
      <c r="D49" s="150"/>
      <c r="E49" s="150"/>
      <c r="F49" s="150"/>
      <c r="G49" s="158"/>
      <c r="H49" s="148" t="s">
        <v>203</v>
      </c>
      <c r="I49" s="150"/>
    </row>
    <row r="50">
      <c r="A50" s="150"/>
      <c r="B50" s="150"/>
      <c r="C50" s="150"/>
      <c r="D50" s="148" t="s">
        <v>75</v>
      </c>
      <c r="E50" s="50" t="s">
        <v>773</v>
      </c>
      <c r="F50" s="156" t="s">
        <v>786</v>
      </c>
      <c r="G50" s="157">
        <f>55+45</f>
        <v>100</v>
      </c>
      <c r="H50" s="148">
        <f>80+55</f>
        <v>135</v>
      </c>
      <c r="I50" s="50" t="s">
        <v>730</v>
      </c>
    </row>
    <row r="51">
      <c r="A51" s="150"/>
      <c r="B51" s="150"/>
      <c r="C51" s="150"/>
      <c r="D51" s="150"/>
      <c r="E51" s="150"/>
      <c r="F51" s="150"/>
      <c r="G51" s="148" t="s">
        <v>158</v>
      </c>
      <c r="H51" s="148" t="s">
        <v>217</v>
      </c>
      <c r="I51" s="150"/>
    </row>
    <row r="52">
      <c r="A52" s="150"/>
      <c r="B52" s="149">
        <v>111.0</v>
      </c>
      <c r="C52" s="150"/>
      <c r="D52" s="148" t="s">
        <v>73</v>
      </c>
      <c r="E52" s="50" t="s">
        <v>773</v>
      </c>
      <c r="F52" s="156" t="s">
        <v>787</v>
      </c>
      <c r="G52" s="157">
        <v>70.0</v>
      </c>
      <c r="H52" s="150"/>
      <c r="I52" s="50" t="s">
        <v>769</v>
      </c>
    </row>
    <row r="53">
      <c r="A53" s="150"/>
      <c r="B53" s="150"/>
      <c r="C53" s="150"/>
      <c r="D53" s="150"/>
      <c r="E53" s="150"/>
      <c r="F53" s="150"/>
      <c r="G53" s="150"/>
      <c r="H53" s="148" t="s">
        <v>219</v>
      </c>
      <c r="I53" s="150"/>
    </row>
    <row r="54">
      <c r="A54" s="88" t="s">
        <v>788</v>
      </c>
      <c r="B54" s="161">
        <v>111.0</v>
      </c>
      <c r="C54" s="87"/>
      <c r="D54" s="88" t="s">
        <v>80</v>
      </c>
      <c r="E54" s="50" t="s">
        <v>756</v>
      </c>
      <c r="F54" s="162" t="s">
        <v>789</v>
      </c>
      <c r="G54" s="88">
        <v>80.0</v>
      </c>
      <c r="H54" s="88">
        <v>105.0</v>
      </c>
      <c r="I54" s="50" t="s">
        <v>730</v>
      </c>
    </row>
    <row r="55">
      <c r="A55" s="87"/>
      <c r="B55" s="87"/>
      <c r="C55" s="87"/>
      <c r="D55" s="87"/>
      <c r="E55" s="87"/>
      <c r="F55" s="87"/>
      <c r="G55" s="88" t="s">
        <v>790</v>
      </c>
      <c r="H55" s="88" t="s">
        <v>791</v>
      </c>
      <c r="I55" s="87"/>
    </row>
    <row r="56">
      <c r="A56" s="87"/>
      <c r="B56" s="161">
        <v>111.0</v>
      </c>
      <c r="C56" s="87"/>
      <c r="D56" s="88" t="s">
        <v>78</v>
      </c>
      <c r="E56" s="50" t="s">
        <v>773</v>
      </c>
      <c r="F56" s="162" t="s">
        <v>792</v>
      </c>
      <c r="G56" s="88">
        <v>70.0</v>
      </c>
      <c r="H56" s="88">
        <v>95.0</v>
      </c>
      <c r="I56" s="50" t="s">
        <v>730</v>
      </c>
    </row>
    <row r="57">
      <c r="A57" s="87"/>
      <c r="B57" s="87"/>
      <c r="C57" s="87"/>
      <c r="D57" s="87"/>
      <c r="E57" s="87"/>
      <c r="F57" s="87"/>
      <c r="G57" s="88" t="s">
        <v>793</v>
      </c>
      <c r="H57" s="88" t="s">
        <v>794</v>
      </c>
      <c r="I57" s="87"/>
    </row>
    <row r="58">
      <c r="A58" s="87"/>
      <c r="B58" s="161">
        <v>111.0</v>
      </c>
      <c r="C58" s="87"/>
      <c r="D58" s="88" t="s">
        <v>88</v>
      </c>
      <c r="E58" s="50" t="s">
        <v>773</v>
      </c>
      <c r="F58" s="162" t="s">
        <v>795</v>
      </c>
      <c r="G58" s="163">
        <f>25+55</f>
        <v>80</v>
      </c>
      <c r="H58" s="88">
        <f>40+55</f>
        <v>95</v>
      </c>
      <c r="I58" s="50" t="s">
        <v>730</v>
      </c>
    </row>
    <row r="59">
      <c r="A59" s="87"/>
      <c r="B59" s="87"/>
      <c r="C59" s="87"/>
      <c r="D59" s="87"/>
      <c r="E59" s="87"/>
      <c r="F59" s="87"/>
      <c r="G59" s="88" t="s">
        <v>796</v>
      </c>
      <c r="H59" s="88" t="s">
        <v>796</v>
      </c>
      <c r="I59" s="87"/>
    </row>
    <row r="60">
      <c r="A60" s="87"/>
      <c r="B60" s="161">
        <v>111.0</v>
      </c>
      <c r="C60" s="87"/>
      <c r="D60" s="88" t="s">
        <v>84</v>
      </c>
      <c r="E60" s="50" t="s">
        <v>773</v>
      </c>
      <c r="F60" s="162" t="s">
        <v>797</v>
      </c>
      <c r="G60" s="163">
        <f>15+45</f>
        <v>60</v>
      </c>
      <c r="H60" s="88">
        <f>25+55</f>
        <v>80</v>
      </c>
      <c r="I60" s="50" t="s">
        <v>730</v>
      </c>
    </row>
    <row r="61">
      <c r="A61" s="87"/>
      <c r="B61" s="87"/>
      <c r="C61" s="87"/>
      <c r="D61" s="87"/>
      <c r="E61" s="87"/>
      <c r="F61" s="87"/>
      <c r="G61" s="88" t="s">
        <v>798</v>
      </c>
      <c r="H61" s="88" t="s">
        <v>798</v>
      </c>
      <c r="I61" s="87"/>
    </row>
    <row r="62">
      <c r="A62" s="87"/>
      <c r="B62" s="161">
        <v>111.0</v>
      </c>
      <c r="C62" s="87"/>
      <c r="D62" s="88" t="s">
        <v>799</v>
      </c>
      <c r="E62" s="50" t="s">
        <v>773</v>
      </c>
      <c r="F62" s="88" t="s">
        <v>800</v>
      </c>
      <c r="G62" s="88">
        <f>40+45</f>
        <v>85</v>
      </c>
      <c r="H62" s="88">
        <f>65+55</f>
        <v>120</v>
      </c>
      <c r="I62" s="50" t="s">
        <v>769</v>
      </c>
    </row>
    <row r="63">
      <c r="A63" s="87"/>
      <c r="B63" s="87"/>
      <c r="C63" s="87"/>
      <c r="D63" s="87"/>
      <c r="E63" s="87"/>
      <c r="F63" s="87"/>
      <c r="G63" s="88" t="s">
        <v>801</v>
      </c>
      <c r="H63" s="88" t="s">
        <v>801</v>
      </c>
      <c r="I63" s="87"/>
    </row>
    <row r="64">
      <c r="A64" s="109" t="s">
        <v>90</v>
      </c>
      <c r="B64" s="164">
        <v>111.0</v>
      </c>
      <c r="C64" s="13"/>
      <c r="D64" s="109" t="s">
        <v>802</v>
      </c>
      <c r="E64" s="50" t="s">
        <v>773</v>
      </c>
      <c r="F64" s="165" t="s">
        <v>803</v>
      </c>
      <c r="G64" s="166">
        <f>20+45</f>
        <v>65</v>
      </c>
      <c r="H64" s="109">
        <f>20+55</f>
        <v>75</v>
      </c>
      <c r="I64" s="50" t="s">
        <v>730</v>
      </c>
    </row>
    <row r="65">
      <c r="A65" s="13"/>
      <c r="B65" s="13"/>
      <c r="C65" s="13"/>
      <c r="D65" s="13"/>
      <c r="E65" s="13"/>
      <c r="F65" s="13"/>
      <c r="G65" s="109" t="s">
        <v>804</v>
      </c>
      <c r="H65" s="109" t="s">
        <v>804</v>
      </c>
      <c r="I65" s="13"/>
    </row>
    <row r="66">
      <c r="A66" s="63" t="s">
        <v>805</v>
      </c>
      <c r="B66" s="167">
        <v>111.0</v>
      </c>
      <c r="C66" s="62"/>
      <c r="D66" s="168" t="s">
        <v>35</v>
      </c>
      <c r="E66" s="168" t="s">
        <v>806</v>
      </c>
      <c r="F66" s="169" t="s">
        <v>807</v>
      </c>
      <c r="G66" s="168">
        <v>69.0</v>
      </c>
      <c r="H66" s="168">
        <v>80.0</v>
      </c>
      <c r="I66" s="144" t="s">
        <v>730</v>
      </c>
    </row>
    <row r="67">
      <c r="A67" s="62"/>
      <c r="B67" s="62"/>
      <c r="C67" s="62"/>
      <c r="D67" s="170"/>
      <c r="E67" s="170"/>
      <c r="F67" s="170"/>
      <c r="G67" s="168" t="s">
        <v>161</v>
      </c>
      <c r="H67" s="168" t="s">
        <v>225</v>
      </c>
      <c r="I67" s="170"/>
    </row>
    <row r="68">
      <c r="A68" s="62"/>
      <c r="B68" s="62"/>
      <c r="C68" s="62"/>
      <c r="D68" s="168" t="s">
        <v>37</v>
      </c>
      <c r="E68" s="168" t="s">
        <v>806</v>
      </c>
      <c r="F68" s="169" t="s">
        <v>808</v>
      </c>
      <c r="G68" s="168">
        <v>79.0</v>
      </c>
      <c r="H68" s="168">
        <v>95.0</v>
      </c>
      <c r="I68" s="144" t="s">
        <v>730</v>
      </c>
    </row>
    <row r="69">
      <c r="A69" s="62"/>
      <c r="B69" s="62"/>
      <c r="C69" s="62"/>
      <c r="D69" s="170"/>
      <c r="E69" s="170"/>
      <c r="F69" s="170"/>
      <c r="G69" s="168" t="s">
        <v>164</v>
      </c>
      <c r="H69" s="168" t="s">
        <v>227</v>
      </c>
      <c r="I69" s="170"/>
    </row>
    <row r="70">
      <c r="A70" s="62"/>
      <c r="B70" s="167">
        <v>111.0</v>
      </c>
      <c r="C70" s="62"/>
      <c r="D70" s="168" t="s">
        <v>39</v>
      </c>
      <c r="E70" s="168" t="s">
        <v>806</v>
      </c>
      <c r="F70" s="169" t="s">
        <v>809</v>
      </c>
      <c r="G70" s="168">
        <v>79.0</v>
      </c>
      <c r="H70" s="170"/>
      <c r="I70" s="144" t="s">
        <v>735</v>
      </c>
    </row>
    <row r="71">
      <c r="A71" s="62"/>
      <c r="B71" s="62"/>
      <c r="C71" s="62"/>
      <c r="D71" s="170"/>
      <c r="E71" s="170"/>
      <c r="F71" s="170"/>
      <c r="G71" s="168" t="s">
        <v>167</v>
      </c>
      <c r="H71" s="170"/>
      <c r="I71" s="170"/>
    </row>
    <row r="72">
      <c r="A72" s="62"/>
      <c r="B72" s="62"/>
      <c r="C72" s="62"/>
      <c r="D72" s="168" t="s">
        <v>41</v>
      </c>
      <c r="E72" s="168" t="s">
        <v>806</v>
      </c>
      <c r="F72" s="169" t="s">
        <v>810</v>
      </c>
      <c r="G72" s="168">
        <v>79.0</v>
      </c>
      <c r="H72" s="170"/>
      <c r="I72" s="144" t="s">
        <v>735</v>
      </c>
    </row>
    <row r="73">
      <c r="A73" s="62"/>
      <c r="B73" s="62"/>
      <c r="C73" s="62"/>
      <c r="D73" s="170"/>
      <c r="E73" s="170"/>
      <c r="F73" s="170"/>
      <c r="G73" s="168" t="s">
        <v>170</v>
      </c>
      <c r="H73" s="170"/>
      <c r="I73" s="170"/>
    </row>
    <row r="74">
      <c r="A74" s="62"/>
      <c r="B74" s="167">
        <v>111.0</v>
      </c>
      <c r="C74" s="62"/>
      <c r="D74" s="168" t="s">
        <v>43</v>
      </c>
      <c r="E74" s="168" t="s">
        <v>806</v>
      </c>
      <c r="F74" s="169" t="s">
        <v>811</v>
      </c>
      <c r="G74" s="168">
        <v>69.0</v>
      </c>
      <c r="H74" s="170"/>
      <c r="I74" s="144" t="s">
        <v>735</v>
      </c>
    </row>
    <row r="75">
      <c r="A75" s="62"/>
      <c r="B75" s="62"/>
      <c r="C75" s="62"/>
      <c r="D75" s="170"/>
      <c r="E75" s="170"/>
      <c r="F75" s="170"/>
      <c r="G75" s="168" t="s">
        <v>173</v>
      </c>
      <c r="H75" s="170"/>
      <c r="I75" s="170"/>
    </row>
    <row r="76">
      <c r="A76" s="62"/>
      <c r="B76" s="167">
        <v>111.0</v>
      </c>
      <c r="C76" s="62"/>
      <c r="D76" s="63" t="s">
        <v>33</v>
      </c>
      <c r="E76" s="63" t="s">
        <v>806</v>
      </c>
      <c r="F76" s="171" t="s">
        <v>812</v>
      </c>
      <c r="G76" s="62"/>
      <c r="H76" s="172">
        <v>85.0</v>
      </c>
      <c r="I76" s="50" t="s">
        <v>769</v>
      </c>
    </row>
    <row r="77">
      <c r="A77" s="62"/>
      <c r="B77" s="62"/>
      <c r="C77" s="62"/>
      <c r="D77" s="62"/>
      <c r="E77" s="62"/>
      <c r="F77" s="62"/>
      <c r="G77" s="62"/>
      <c r="H77" s="63" t="s">
        <v>813</v>
      </c>
      <c r="I77" s="62"/>
    </row>
  </sheetData>
  <dataValidations>
    <dataValidation type="list" allowBlank="1" showErrorMessage="1" sqref="E1:E2 E4 E6 E8 E10 E12 E14 E16 E18 E20 E22 E24 E26 E28 E30 E32 E34 E36 E38 E40 E42 E44 E46 E48 E50 E52 E54 E56 E58 E60 E62 E64">
      <formula1>"The Master Piece,Grade,Premium Ceremonial,Ceremonial (Organic),Ceremonial,Premium"</formula1>
    </dataValidation>
    <dataValidation type="list" allowBlank="1" showErrorMessage="1" sqref="I1:I2 I4 I6 I8 I10 I12 I14 I16 I18 I20 I22 I24 I26 I28 I30 I32 I34 I36 I38 I40 I42 I44 I46 I48 I50 I52 I54 I56 I58 I60 I62 I64 I66 I68 I70 I72 I74 I76">
      <formula1>"CL,C,L"</formula1>
    </dataValidation>
  </dataValidations>
  <drawing r:id="rId1"/>
  <tableParts count="2">
    <tablePart r:id="rId4"/>
    <tablePart r:id="rId5"/>
  </tableParts>
</worksheet>
</file>